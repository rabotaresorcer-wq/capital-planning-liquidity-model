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DASHBOARD" sheetId="2" state="visible" r:id="rId2"/>
    <sheet xmlns:r="http://schemas.openxmlformats.org/officeDocument/2006/relationships" name="02_INPUTS" sheetId="3" state="visible" r:id="rId3"/>
    <sheet xmlns:r="http://schemas.openxmlformats.org/officeDocument/2006/relationships" name="03_DEPOSITS" sheetId="4" state="visible" r:id="rId4"/>
    <sheet xmlns:r="http://schemas.openxmlformats.org/officeDocument/2006/relationships" name="04_CASH_FLOW" sheetId="5" state="visible" r:id="rId5"/>
    <sheet xmlns:r="http://schemas.openxmlformats.org/officeDocument/2006/relationships" name="05_FX_ALLOCATION" sheetId="6" state="visible" r:id="rId6"/>
    <sheet xmlns:r="http://schemas.openxmlformats.org/officeDocument/2006/relationships" name="06_SCENARIOS" sheetId="7" state="visible" r:id="rId7"/>
    <sheet xmlns:r="http://schemas.openxmlformats.org/officeDocument/2006/relationships" name="07_CONTROLS" sheetId="8" state="visible" r:id="rId8"/>
    <sheet xmlns:r="http://schemas.openxmlformats.org/officeDocument/2006/relationships" name="08_ANALYTICS" sheetId="9" state="visible" r:id="rId9"/>
  </sheets>
  <definedNames>
    <definedName name="_xlnm.Print_Area" localSheetId="1">'01_DASHBOARD'!$A$1:$O$34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9">
    <numFmt numFmtId="164" formatCode="$#,##0;[Red]($#,##0);-"/>
    <numFmt numFmtId="165" formatCode="[$-409]mmm d, yyyy"/>
    <numFmt numFmtId="166" formatCode="0.0 &quot;months&quot;;[Red](0.0) &quot;months&quot;;-"/>
    <numFmt numFmtId="167" formatCode="0.0%;[Red](0.0%);-"/>
    <numFmt numFmtId="168" formatCode="$0.0000"/>
    <numFmt numFmtId="169" formatCode="#,##0 &quot;FCU&quot;;[Red](#,##0) &quot;FCU&quot;;-"/>
    <numFmt numFmtId="170" formatCode="mmm yyyy"/>
    <numFmt numFmtId="171" formatCode="0.00x"/>
    <numFmt numFmtId="172" formatCode="0.0000"/>
  </numFmts>
  <fonts count="2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DC2626"/>
      <sz val="9"/>
    </font>
    <font>
      <b val="1"/>
      <color rgb="00FFFFFF"/>
    </font>
    <font>
      <b val="1"/>
      <color rgb="000F172A"/>
    </font>
    <font>
      <color rgb="000000FF"/>
    </font>
    <font>
      <color rgb="00000000"/>
    </font>
    <font>
      <name val="Aptos"/>
      <b val="1"/>
      <color rgb="000F172A"/>
      <sz val="21"/>
    </font>
    <font>
      <name val="Aptos"/>
      <color rgb="0064748B"/>
      <sz val="10"/>
    </font>
    <font>
      <name val="Aptos"/>
      <b val="1"/>
      <color rgb="0014B8A6"/>
      <sz val="9"/>
    </font>
    <font>
      <name val="Aptos"/>
      <color rgb="00DC2626"/>
      <sz val="8"/>
    </font>
    <font>
      <name val="Aptos"/>
      <b val="1"/>
      <color rgb="000F172A"/>
      <sz val="8"/>
    </font>
    <font>
      <name val="Aptos"/>
      <b val="1"/>
      <color rgb="00000000"/>
      <sz val="16"/>
    </font>
    <font>
      <name val="Aptos"/>
      <color rgb="0064748B"/>
      <sz val="8"/>
    </font>
    <font>
      <name val="Aptos"/>
      <b val="1"/>
      <color rgb="00000000"/>
      <sz val="13"/>
    </font>
    <font>
      <name val="Aptos"/>
      <b val="1"/>
      <color rgb="00FFFFFF"/>
      <sz val="8"/>
    </font>
    <font>
      <name val="Aptos"/>
      <b val="1"/>
      <color rgb="000F172A"/>
      <sz val="11"/>
    </font>
    <font>
      <name val="Aptos"/>
      <b val="1"/>
      <color rgb="00000000"/>
      <sz val="9"/>
    </font>
    <font>
      <b val="1"/>
      <color rgb="000F172A"/>
      <sz val="14"/>
    </font>
    <font>
      <b val="1"/>
      <color rgb="0014B8A6"/>
      <sz val="9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2E8F0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4B8A6"/>
      </patternFill>
    </fill>
  </fills>
  <borders count="5">
    <border>
      <left/>
      <right/>
      <top/>
      <bottom/>
      <diagonal/>
    </border>
    <border>
      <bottom style="thin">
        <color rgb="00CBD5E1"/>
      </bottom>
    </border>
    <border>
      <bottom style="thin">
        <color rgb="00E2E8F0"/>
      </bottom>
    </border>
    <border>
      <left/>
      <right/>
      <top/>
      <bottom style="thin">
        <color rgb="00E2E8F0"/>
      </bottom>
      <diagonal/>
    </border>
    <border>
      <right/>
      <bottom style="thin">
        <color rgb="00E2E8F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5" borderId="2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164" fontId="6" fillId="5" borderId="2" applyAlignment="1" pivotButton="0" quotePrefix="0" xfId="0">
      <alignment vertical="center" wrapText="1"/>
    </xf>
    <xf numFmtId="0" fontId="0" fillId="5" borderId="2" applyAlignment="1" pivotButton="0" quotePrefix="0" xfId="0">
      <alignment vertical="center" wrapText="1"/>
    </xf>
    <xf numFmtId="165" fontId="6" fillId="5" borderId="2" applyAlignment="1" pivotButton="0" quotePrefix="0" xfId="0">
      <alignment vertical="center" wrapText="1"/>
    </xf>
    <xf numFmtId="0" fontId="13" fillId="5" borderId="2" applyAlignment="1" pivotButton="0" quotePrefix="0" xfId="0">
      <alignment vertical="center" wrapText="1"/>
    </xf>
    <xf numFmtId="166" fontId="6" fillId="5" borderId="2" applyAlignment="1" pivotButton="0" quotePrefix="0" xfId="0">
      <alignment vertical="center" wrapText="1"/>
    </xf>
    <xf numFmtId="167" fontId="6" fillId="5" borderId="2" applyAlignment="1" pivotButton="0" quotePrefix="0" xfId="0">
      <alignment vertical="center" wrapText="1"/>
    </xf>
    <xf numFmtId="0" fontId="11" fillId="4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  <xf numFmtId="166" fontId="6" fillId="4" borderId="2" applyAlignment="1" pivotButton="0" quotePrefix="0" xfId="0">
      <alignment vertical="center" wrapText="1"/>
    </xf>
    <xf numFmtId="167" fontId="6" fillId="4" borderId="2" applyAlignment="1" pivotButton="0" quotePrefix="0" xfId="0">
      <alignment vertical="center" wrapText="1"/>
    </xf>
    <xf numFmtId="165" fontId="6" fillId="4" borderId="2" applyAlignment="1" pivotButton="0" quotePrefix="0" xfId="0">
      <alignment vertical="center" wrapText="1"/>
    </xf>
    <xf numFmtId="164" fontId="6" fillId="4" borderId="2" applyAlignment="1" pivotButton="0" quotePrefix="0" xfId="0">
      <alignment vertical="center" wrapText="1"/>
    </xf>
    <xf numFmtId="0" fontId="15" fillId="6" borderId="1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0" fontId="11" fillId="3" borderId="1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167" fontId="6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vertical="center" wrapText="1"/>
    </xf>
    <xf numFmtId="164" fontId="6" fillId="0" borderId="0" applyAlignment="1" pivotButton="0" quotePrefix="0" xfId="0">
      <alignment vertical="center" wrapText="1"/>
    </xf>
    <xf numFmtId="167" fontId="5" fillId="0" borderId="0" applyAlignment="1" pivotButton="0" quotePrefix="0" xfId="0">
      <alignment vertical="center" wrapText="1"/>
    </xf>
    <xf numFmtId="168" fontId="5" fillId="0" borderId="0" applyAlignment="1" pivotButton="0" quotePrefix="0" xfId="0">
      <alignment vertical="center" wrapText="1"/>
    </xf>
    <xf numFmtId="169" fontId="6" fillId="0" borderId="0" applyAlignment="1" pivotButton="0" quotePrefix="0" xfId="0">
      <alignment vertical="center" wrapText="1"/>
    </xf>
    <xf numFmtId="1" fontId="5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167" fontId="0" fillId="0" borderId="0" applyAlignment="1" pivotButton="0" quotePrefix="0" xfId="0">
      <alignment vertical="center" wrapText="1"/>
    </xf>
    <xf numFmtId="170" fontId="0" fillId="0" borderId="0" applyAlignment="1" pivotButton="0" quotePrefix="0" xfId="0">
      <alignment vertical="center" wrapText="1"/>
    </xf>
    <xf numFmtId="170" fontId="6" fillId="0" borderId="0" applyAlignment="1" pivotButton="0" quotePrefix="0" xfId="0">
      <alignment vertical="center" wrapText="1"/>
    </xf>
    <xf numFmtId="168" fontId="6" fillId="0" borderId="0" applyAlignment="1" pivotButton="0" quotePrefix="0" xfId="0">
      <alignment vertical="center" wrapText="1"/>
    </xf>
    <xf numFmtId="171" fontId="0" fillId="0" borderId="0" applyAlignment="1" pivotButton="0" quotePrefix="0" xfId="0">
      <alignment vertical="center" wrapText="1"/>
    </xf>
    <xf numFmtId="172" fontId="6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9" fillId="0" borderId="0" applyAlignment="1" pivotButton="0" quotePrefix="0" xfId="0">
      <alignment vertical="center" wrapText="1"/>
    </xf>
    <xf numFmtId="0" fontId="11" fillId="5" borderId="4" applyAlignment="1" pivotButton="0" quotePrefix="0" xfId="0">
      <alignment vertical="center" wrapText="1"/>
    </xf>
    <xf numFmtId="0" fontId="0" fillId="0" borderId="3" pivotButton="0" quotePrefix="0" xfId="0"/>
    <xf numFmtId="165" fontId="6" fillId="5" borderId="2" applyAlignment="1" pivotButton="0" quotePrefix="0" xfId="0">
      <alignment vertical="center" wrapText="1"/>
    </xf>
    <xf numFmtId="0" fontId="13" fillId="5" borderId="4" applyAlignment="1" pivotButton="0" quotePrefix="0" xfId="0">
      <alignment vertical="center" wrapText="1"/>
    </xf>
    <xf numFmtId="166" fontId="6" fillId="5" borderId="2" applyAlignment="1" pivotButton="0" quotePrefix="0" xfId="0">
      <alignment vertical="center" wrapText="1"/>
    </xf>
    <xf numFmtId="167" fontId="6" fillId="5" borderId="2" applyAlignment="1" pivotButton="0" quotePrefix="0" xfId="0">
      <alignment vertical="center" wrapText="1"/>
    </xf>
    <xf numFmtId="0" fontId="11" fillId="4" borderId="4" applyAlignment="1" pivotButton="0" quotePrefix="0" xfId="0">
      <alignment vertical="center" wrapText="1"/>
    </xf>
    <xf numFmtId="166" fontId="6" fillId="4" borderId="4" applyAlignment="1" pivotButton="0" quotePrefix="0" xfId="0">
      <alignment vertical="center" wrapText="1"/>
    </xf>
    <xf numFmtId="167" fontId="6" fillId="4" borderId="4" applyAlignment="1" pivotButton="0" quotePrefix="0" xfId="0">
      <alignment vertical="center" wrapText="1"/>
    </xf>
    <xf numFmtId="165" fontId="6" fillId="4" borderId="4" applyAlignment="1" pivotButton="0" quotePrefix="0" xfId="0">
      <alignment vertical="center" wrapText="1"/>
    </xf>
    <xf numFmtId="164" fontId="6" fillId="4" borderId="4" applyAlignment="1" pivotButton="0" quotePrefix="0" xfId="0">
      <alignment vertical="center" wrapText="1"/>
    </xf>
    <xf numFmtId="167" fontId="6" fillId="0" borderId="0" applyAlignment="1" pivotButton="0" quotePrefix="0" xfId="0">
      <alignment vertical="center" wrapText="1"/>
    </xf>
    <xf numFmtId="167" fontId="5" fillId="0" borderId="0" applyAlignment="1" pivotButton="0" quotePrefix="0" xfId="0">
      <alignment vertical="center" wrapText="1"/>
    </xf>
    <xf numFmtId="168" fontId="5" fillId="0" borderId="0" applyAlignment="1" pivotButton="0" quotePrefix="0" xfId="0">
      <alignment vertical="center" wrapText="1"/>
    </xf>
    <xf numFmtId="169" fontId="6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67" fontId="0" fillId="0" borderId="0" applyAlignment="1" pivotButton="0" quotePrefix="0" xfId="0">
      <alignment vertical="center" wrapText="1"/>
    </xf>
    <xf numFmtId="170" fontId="0" fillId="0" borderId="0" applyAlignment="1" pivotButton="0" quotePrefix="0" xfId="0">
      <alignment vertical="center" wrapText="1"/>
    </xf>
    <xf numFmtId="170" fontId="6" fillId="0" borderId="0" applyAlignment="1" pivotButton="0" quotePrefix="0" xfId="0">
      <alignment vertical="center" wrapText="1"/>
    </xf>
    <xf numFmtId="168" fontId="6" fillId="0" borderId="0" applyAlignment="1" pivotButton="0" quotePrefix="0" xfId="0">
      <alignment vertical="center" wrapText="1"/>
    </xf>
    <xf numFmtId="171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12M Capital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'08_ANALYTICS'!C4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'08_ANALYTICS'!$A$5:$A$16</f>
            </numRef>
          </cat>
          <val>
            <numRef>
              <f>'08_ANALYTICS'!$C$5:$C$16</f>
            </numRef>
          </val>
        </ser>
        <ser>
          <idx val="1"/>
          <order val="1"/>
          <tx>
            <strRef>
              <f>'08_ANALYTICS'!D4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'08_ANALYTICS'!$A$5:$A$16</f>
            </numRef>
          </cat>
          <val>
            <numRef>
              <f>'08_ANALYTICS'!$D$5:$D$16</f>
            </numRef>
          </val>
        </ser>
        <ser>
          <idx val="2"/>
          <order val="2"/>
          <tx>
            <strRef>
              <f>'08_ANALYTICS'!E4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'08_ANALYTICS'!$A$5:$A$16</f>
            </numRef>
          </cat>
          <val>
            <numRef>
              <f>'08_ANALYTICS'!$E$5:$E$16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Capital Allocation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'08_ANALYTICS'!B25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'08_ANALYTICS'!$A$26</f>
            </numRef>
          </cat>
          <val>
            <numRef>
              <f>'08_ANALYTICS'!$B$26</f>
            </numRef>
          </val>
        </ser>
        <ser>
          <idx val="1"/>
          <order val="1"/>
          <tx>
            <strRef>
              <f>'08_ANALYTICS'!C25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'08_ANALYTICS'!$A$26</f>
            </numRef>
          </cat>
          <val>
            <numRef>
              <f>'08_ANALYTICS'!$C$26</f>
            </numRef>
          </val>
        </ser>
        <ser>
          <idx val="2"/>
          <order val="2"/>
          <tx>
            <strRef>
              <f>'08_ANALYTICS'!D25</f>
            </strRef>
          </tx>
          <spPr>
            <a:ln xmlns:a="http://schemas.openxmlformats.org/drawingml/2006/main">
              <a:prstDash val="solid"/>
            </a:ln>
          </spPr>
          <cat>
            <numRef>
              <f>'08_ANALYTICS'!$A$26</f>
            </numRef>
          </cat>
          <val>
            <numRef>
              <f>'08_ANALYTICS'!$D$26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Allocation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5220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20</row>
      <rowOff>0</rowOff>
    </from>
    <ext cx="3671999" cy="244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PROJECT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4" t="inlineStr">
        <is>
          <t>Capital Planning &amp; Liquidity Management Model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5" t="inlineStr">
        <is>
          <t>BUSINESS PROBLEM</t>
        </is>
      </c>
    </row>
    <row r="5">
      <c r="A5" s="46" t="inlineStr">
        <is>
          <t>Leadership needs a consolidated view of liquidity, investment income, capital allocation, deposit maturities, FX exposure, and forward-looking scenarios.</t>
        </is>
      </c>
      <c r="B5" s="5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47" t="inlineStr">
        <is>
          <t>SOLUTION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48" t="inlineStr">
        <is>
          <t>A dynamic Excel-based decision-support model integrating cash flow, term deposits, FX allocation, scenario planning, automated controls, and an executive dashboard.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47" t="inlineStr">
        <is>
          <t>MODEL ARCHITECTURE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48" t="inlineStr">
        <is>
          <t>Inputs -&gt; Deposits -&gt; Cash Flow -&gt; FX Allocation -&gt; Scenarios -&gt; Controls -&gt; Executive Dashboard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47" t="inlineStr">
        <is>
          <t>KEY FEATURES</t>
        </is>
      </c>
      <c r="B13" s="2" t="n"/>
      <c r="C13" s="2" t="n"/>
      <c r="D13" s="2" t="n"/>
      <c r="E13" s="2" t="n"/>
      <c r="F13" s="2" t="n"/>
      <c r="G13" s="2" t="n"/>
      <c r="H13" s="2" t="n"/>
    </row>
    <row r="14">
      <c r="A14" s="48" t="inlineStr">
        <is>
          <t>12-month capital forecast; Base / Optimistic / Stress scenarios; liquidity reserve management; term deposit maturity tracking; FX exposure monitoring; automated reconciliation controls; executive KPI dashboard; management insights.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47" t="inlineStr">
        <is>
          <t>DECISION LOGIC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48" t="inlineStr">
        <is>
          <t>Starting Capital -&gt; Investment Income -&gt; Operating Expenses -&gt; Minimum Reserve -&gt; Excess Liquidity -&gt; Capital Allocation -&gt; Reinvestment -&gt; 12M Forecast</t>
        </is>
      </c>
    </row>
    <row r="19">
      <c r="A19" s="49" t="inlineStr">
        <is>
          <t>DATA NOTE</t>
        </is>
      </c>
    </row>
    <row r="20">
      <c r="A20" s="48" t="inlineStr">
        <is>
          <t>All financial figures shown in this model are synthetic and created solely for portfolio demonstration.</t>
        </is>
      </c>
    </row>
    <row r="22">
      <c r="A22" s="49" t="inlineStr">
        <is>
          <t>SKILLS DEMONSTRATED</t>
        </is>
      </c>
    </row>
    <row r="23">
      <c r="A23" s="48" t="inlineStr">
        <is>
          <t>Financial Modeling; FP&amp;A; Business Operations; Cash Flow Forecasting; Liquidity Management; Scenario Planning; Risk Controls; Management Reporting; Executive Dashboard Design; Decision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showGridLines="0" zoomScale="100" zoomScaleNormal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.2" customWidth="1" min="1" max="1"/>
    <col width="11.2" customWidth="1" min="2" max="2"/>
    <col width="11.2" customWidth="1" min="3" max="3"/>
    <col width="11.2" customWidth="1" min="4" max="4"/>
    <col width="11.2" customWidth="1" min="5" max="5"/>
    <col width="11.2" customWidth="1" min="6" max="6"/>
    <col width="11.2" customWidth="1" min="7" max="7"/>
    <col width="11.2" customWidth="1" min="8" max="8"/>
    <col width="11.2" customWidth="1" min="9" max="9"/>
    <col width="11.2" customWidth="1" min="10" max="10"/>
    <col width="11.2" customWidth="1" min="11" max="11"/>
    <col width="11.2" customWidth="1" min="12" max="12"/>
    <col width="11.2" customWidth="1" min="13" max="13"/>
    <col width="11.2" customWidth="1" min="14" max="14"/>
    <col width="11.2" customWidth="1" min="15" max="15"/>
    <col width="15" customWidth="1" min="16" max="16"/>
    <col width="15" customWidth="1" min="17" max="17"/>
    <col width="15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28" customHeight="1">
      <c r="A1" s="6" t="inlineStr">
        <is>
          <t>Capital Planning &amp; Liquidity Management</t>
        </is>
      </c>
    </row>
    <row r="2" ht="18" customHeight="1">
      <c r="A2" s="7" t="inlineStr">
        <is>
          <t>Cash Flow · Liquidity · Scenario Planning · FX Risk</t>
        </is>
      </c>
    </row>
    <row r="3" ht="18" customHeight="1">
      <c r="A3" s="50" t="inlineStr">
        <is>
          <t>Synthetic Portfolio Model</t>
        </is>
      </c>
      <c r="K3" s="9" t="inlineStr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18" customHeight="1">
      <c r="A5" s="51" t="inlineStr">
        <is>
          <t>TOTAL CAPITAL</t>
        </is>
      </c>
      <c r="B5" s="52" t="n"/>
      <c r="C5" s="52" t="n"/>
      <c r="D5" s="51" t="inlineStr">
        <is>
          <t>AVAILABLE LIQUIDITY</t>
        </is>
      </c>
      <c r="E5" s="52" t="n"/>
      <c r="F5" s="52" t="n"/>
      <c r="G5" s="51" t="inlineStr">
        <is>
          <t>TERM DEPOSITS</t>
        </is>
      </c>
      <c r="H5" s="52" t="n"/>
      <c r="I5" s="52" t="n"/>
      <c r="J5" s="51" t="inlineStr">
        <is>
          <t>FX ASSETS</t>
        </is>
      </c>
      <c r="K5" s="52" t="n"/>
      <c r="L5" s="52" t="n"/>
      <c r="M5" s="51" t="inlineStr">
        <is>
          <t>NEXT MATURITY</t>
        </is>
      </c>
      <c r="N5" s="52" t="n"/>
      <c r="O5" s="52" t="n"/>
    </row>
    <row r="6" ht="24" customHeight="1">
      <c r="A6" s="12">
        <f>'02_INPUTS'!$B$8</f>
        <v/>
      </c>
      <c r="B6" s="13" t="n"/>
      <c r="C6" s="13" t="n"/>
      <c r="D6" s="12">
        <f>'02_INPUTS'!$B$5</f>
        <v/>
      </c>
      <c r="E6" s="13" t="n"/>
      <c r="F6" s="13" t="n"/>
      <c r="G6" s="12">
        <f>'02_INPUTS'!$B$6</f>
        <v/>
      </c>
      <c r="H6" s="13" t="n"/>
      <c r="I6" s="13" t="n"/>
      <c r="J6" s="12">
        <f>'02_INPUTS'!$B$7</f>
        <v/>
      </c>
      <c r="K6" s="13" t="n"/>
      <c r="L6" s="13" t="n"/>
      <c r="M6" s="53">
        <f>MIN('03_DEPOSITS'!E5:E8)</f>
        <v/>
      </c>
      <c r="N6" s="13" t="n"/>
      <c r="O6" s="13" t="n"/>
    </row>
    <row r="7" ht="18" customHeight="1">
      <c r="A7" s="54" t="inlineStr">
        <is>
          <t>Cash + Deposits + FX</t>
        </is>
      </c>
      <c r="B7" s="52" t="n"/>
      <c r="C7" s="52" t="n"/>
      <c r="D7" s="54" t="inlineStr">
        <is>
          <t>Unrestricted USD Cash</t>
        </is>
      </c>
      <c r="E7" s="52" t="n"/>
      <c r="F7" s="52" t="n"/>
      <c r="G7" s="54" t="inlineStr">
        <is>
          <t>Active Principal</t>
        </is>
      </c>
      <c r="H7" s="52" t="n"/>
      <c r="I7" s="52" t="n"/>
      <c r="J7" s="54" t="inlineStr">
        <is>
          <t>USD Equivalent</t>
        </is>
      </c>
      <c r="K7" s="52" t="n"/>
      <c r="L7" s="52" t="n"/>
      <c r="M7" s="54" t="inlineStr">
        <is>
          <t>Future Active Deposit</t>
        </is>
      </c>
      <c r="N7" s="52" t="n"/>
      <c r="O7" s="52" t="n"/>
    </row>
    <row r="8" ht="18" customHeight="1">
      <c r="A8" s="51" t="inlineStr">
        <is>
          <t>MONTHLY CASH BURN</t>
        </is>
      </c>
      <c r="B8" s="52" t="n"/>
      <c r="C8" s="52" t="n"/>
      <c r="D8" s="51" t="inlineStr">
        <is>
          <t>INVESTMENT INCOME</t>
        </is>
      </c>
      <c r="E8" s="52" t="n"/>
      <c r="F8" s="52" t="n"/>
      <c r="G8" s="51" t="inlineStr">
        <is>
          <t>LIQUIDITY COVERAGE</t>
        </is>
      </c>
      <c r="H8" s="52" t="n"/>
      <c r="I8" s="52" t="n"/>
      <c r="J8" s="51" t="inlineStr">
        <is>
          <t>FX EXPOSURE</t>
        </is>
      </c>
      <c r="K8" s="52" t="n"/>
      <c r="L8" s="52" t="n"/>
      <c r="M8" s="51" t="inlineStr">
        <is>
          <t>12M FORECAST</t>
        </is>
      </c>
      <c r="N8" s="52" t="n"/>
      <c r="O8" s="2" t="n"/>
    </row>
    <row r="9" ht="24" customHeight="1">
      <c r="A9" s="12">
        <f>'02_INPUTS'!$B$10+'02_INPUTS'!$B$11</f>
        <v/>
      </c>
      <c r="B9" s="13" t="n"/>
      <c r="C9" s="13" t="n"/>
      <c r="D9" s="12">
        <f>'04_CASH_FLOW'!C5</f>
        <v/>
      </c>
      <c r="E9" s="13" t="n"/>
      <c r="F9" s="13" t="n"/>
      <c r="G9" s="55">
        <f>D6/A9</f>
        <v/>
      </c>
      <c r="H9" s="13" t="n"/>
      <c r="I9" s="13" t="n"/>
      <c r="J9" s="56">
        <f>J6/A6</f>
        <v/>
      </c>
      <c r="K9" s="13" t="n"/>
      <c r="L9" s="13" t="n"/>
      <c r="M9" s="12">
        <f>'08_ANALYTICS'!C16</f>
        <v/>
      </c>
      <c r="N9" s="13" t="n"/>
      <c r="O9" s="2" t="n"/>
    </row>
    <row r="10" ht="18" customHeight="1">
      <c r="A10" s="54" t="inlineStr">
        <is>
          <t>USD / Month</t>
        </is>
      </c>
      <c r="B10" s="52" t="n"/>
      <c r="C10" s="52" t="n"/>
      <c r="D10" s="54" t="inlineStr">
        <is>
          <t>Current Month</t>
        </is>
      </c>
      <c r="E10" s="52" t="n"/>
      <c r="F10" s="52" t="n"/>
      <c r="G10" s="54" t="inlineStr">
        <is>
          <t>Liquidity Runway</t>
        </is>
      </c>
      <c r="H10" s="52" t="n"/>
      <c r="I10" s="52" t="n"/>
      <c r="J10" s="54" t="inlineStr">
        <is>
          <t>FX Assets / Total</t>
        </is>
      </c>
      <c r="K10" s="52" t="n"/>
      <c r="L10" s="52" t="n"/>
      <c r="M10" s="54" t="inlineStr">
        <is>
          <t>Base Month 12</t>
        </is>
      </c>
      <c r="N10" s="52" t="n"/>
      <c r="O10" s="2" t="n"/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9" customHeight="1">
      <c r="A12" s="57" t="inlineStr">
        <is>
          <t>LIQUIDITY RUNWAY</t>
        </is>
      </c>
      <c r="B12" s="52" t="n"/>
      <c r="C12" s="52" t="n"/>
      <c r="D12" s="57" t="inlineStr">
        <is>
          <t>INCOME COVERAGE</t>
        </is>
      </c>
      <c r="E12" s="52" t="n"/>
      <c r="F12" s="52" t="n"/>
      <c r="G12" s="57" t="inlineStr">
        <is>
          <t>NEXT MATURITY</t>
        </is>
      </c>
      <c r="H12" s="52" t="n"/>
      <c r="I12" s="52" t="n"/>
      <c r="J12" s="57" t="inlineStr">
        <is>
          <t>STRESS DOWNSIDE</t>
        </is>
      </c>
      <c r="K12" s="52" t="n"/>
      <c r="L12" s="52" t="n"/>
      <c r="M12" s="57" t="inlineStr">
        <is>
          <t>EXCESS LIQUIDITY</t>
        </is>
      </c>
      <c r="N12" s="52" t="n"/>
      <c r="O12" s="52" t="n"/>
    </row>
    <row r="13" ht="19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</row>
    <row r="14" ht="19" customHeight="1">
      <c r="A14" s="58">
        <f>G9</f>
        <v/>
      </c>
      <c r="D14" s="59">
        <f>D9/A9</f>
        <v/>
      </c>
      <c r="G14" s="60">
        <f>M6</f>
        <v/>
      </c>
      <c r="J14" s="59">
        <f>('08_ANALYTICS'!E16-'08_ANALYTICS'!C16)/'08_ANALYTICS'!C16</f>
        <v/>
      </c>
      <c r="M14" s="61">
        <f>'04_CASH_FLOW'!J5</f>
        <v/>
      </c>
    </row>
    <row r="15" ht="19" customHeight="1">
      <c r="A15" s="52" t="n"/>
      <c r="B15" s="52" t="n"/>
      <c r="C15" s="52" t="n"/>
      <c r="D15" s="52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</row>
    <row r="16" ht="1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8" customHeight="1">
      <c r="A17" s="24" t="inlineStr">
        <is>
          <t>Opening Cash</t>
        </is>
      </c>
      <c r="B17" s="25" t="inlineStr">
        <is>
          <t>→</t>
        </is>
      </c>
      <c r="C17" s="26" t="inlineStr">
        <is>
          <t>Income</t>
        </is>
      </c>
      <c r="D17" s="25" t="inlineStr">
        <is>
          <t>→</t>
        </is>
      </c>
      <c r="E17" s="26" t="inlineStr">
        <is>
          <t>Expenses</t>
        </is>
      </c>
      <c r="F17" s="25" t="inlineStr">
        <is>
          <t>→</t>
        </is>
      </c>
      <c r="G17" s="26" t="inlineStr">
        <is>
          <t>Pre-Allocation Cash</t>
        </is>
      </c>
      <c r="H17" s="25" t="inlineStr">
        <is>
          <t>→</t>
        </is>
      </c>
      <c r="I17" s="26" t="inlineStr">
        <is>
          <t>Reserve</t>
        </is>
      </c>
      <c r="J17" s="25" t="inlineStr">
        <is>
          <t>→</t>
        </is>
      </c>
      <c r="K17" s="26" t="inlineStr">
        <is>
          <t>Excess Liquidity</t>
        </is>
      </c>
      <c r="L17" s="25" t="inlineStr">
        <is>
          <t>→</t>
        </is>
      </c>
      <c r="M17" s="26" t="inlineStr">
        <is>
          <t>Allocation</t>
        </is>
      </c>
      <c r="N17" s="25" t="inlineStr">
        <is>
          <t>→</t>
        </is>
      </c>
      <c r="O17" s="24" t="inlineStr">
        <is>
          <t>Closing Cash</t>
        </is>
      </c>
    </row>
    <row r="18" ht="18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18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18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 ht="18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 ht="18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 ht="18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 ht="18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 ht="18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 ht="18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 ht="18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 ht="18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 ht="18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 ht="18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 ht="18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7" t="inlineStr">
        <is>
          <t>Cash</t>
        </is>
      </c>
      <c r="J31" s="62">
        <f>'08_ANALYTICS'!C21</f>
        <v/>
      </c>
      <c r="K31" s="27" t="inlineStr">
        <is>
          <t>Deposits</t>
        </is>
      </c>
      <c r="L31" s="62">
        <f>'08_ANALYTICS'!C22</f>
        <v/>
      </c>
      <c r="M31" s="27" t="inlineStr">
        <is>
          <t>FX</t>
        </is>
      </c>
      <c r="N31" s="62">
        <f>'08_ANALYTICS'!C23</f>
        <v/>
      </c>
      <c r="O31" s="2" t="n"/>
    </row>
    <row r="32" ht="18" customHeight="1"/>
    <row r="33" ht="18" customHeight="1"/>
    <row r="34" ht="18" customHeight="1"/>
  </sheetData>
  <mergeCells count="34">
    <mergeCell ref="K3:O3"/>
    <mergeCell ref="G10:I10"/>
    <mergeCell ref="D14:F15"/>
    <mergeCell ref="J14:L15"/>
    <mergeCell ref="M7:O7"/>
    <mergeCell ref="D7:F7"/>
    <mergeCell ref="A12:C12"/>
    <mergeCell ref="M12:O12"/>
    <mergeCell ref="J7:L7"/>
    <mergeCell ref="A2:O2"/>
    <mergeCell ref="A5:C5"/>
    <mergeCell ref="G5:I5"/>
    <mergeCell ref="A8:C8"/>
    <mergeCell ref="M10:N10"/>
    <mergeCell ref="D12:F12"/>
    <mergeCell ref="J12:L12"/>
    <mergeCell ref="D8:F8"/>
    <mergeCell ref="A10:C10"/>
    <mergeCell ref="D5:F5"/>
    <mergeCell ref="J8:L8"/>
    <mergeCell ref="G12:I12"/>
    <mergeCell ref="M8:N8"/>
    <mergeCell ref="D10:F10"/>
    <mergeCell ref="J5:L5"/>
    <mergeCell ref="J10:L10"/>
    <mergeCell ref="G14:I15"/>
    <mergeCell ref="A3:J3"/>
    <mergeCell ref="M5:O5"/>
    <mergeCell ref="A14:C15"/>
    <mergeCell ref="A1:O1"/>
    <mergeCell ref="G8:I8"/>
    <mergeCell ref="M14:O15"/>
    <mergeCell ref="A7:C7"/>
    <mergeCell ref="G7:I7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Inputs</t>
        </is>
      </c>
      <c r="B1" s="2" t="n"/>
      <c r="C1" s="2" t="n"/>
      <c r="D1" s="2" t="n"/>
    </row>
    <row r="2">
      <c r="A2" s="3" t="inlineStr">
        <is>
          <t>— 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5" t="inlineStr">
        <is>
          <t>Assumption</t>
        </is>
      </c>
      <c r="B4" s="5" t="inlineStr">
        <is>
          <t>Value</t>
        </is>
      </c>
      <c r="C4" s="5" t="inlineStr">
        <is>
          <t>Unit</t>
        </is>
      </c>
      <c r="D4" s="5" t="inlineStr">
        <is>
          <t>Role</t>
        </is>
      </c>
    </row>
    <row r="5">
      <c r="A5" s="2" t="inlineStr">
        <is>
          <t>Current Available Liquidity</t>
        </is>
      </c>
      <c r="B5" s="29" t="n">
        <v>1350000</v>
      </c>
      <c r="C5" s="2" t="inlineStr">
        <is>
          <t>USD</t>
        </is>
      </c>
      <c r="D5" s="2" t="inlineStr">
        <is>
          <t>Input</t>
        </is>
      </c>
    </row>
    <row r="6">
      <c r="A6" s="2" t="inlineStr">
        <is>
          <t>Active Term Deposit Principal</t>
        </is>
      </c>
      <c r="B6" s="29" t="n">
        <v>3800000</v>
      </c>
      <c r="C6" s="2" t="inlineStr">
        <is>
          <t>USD</t>
        </is>
      </c>
      <c r="D6" s="2" t="inlineStr">
        <is>
          <t>Check</t>
        </is>
      </c>
    </row>
    <row r="7">
      <c r="A7" s="2" t="inlineStr">
        <is>
          <t>Current FX Assets USD</t>
        </is>
      </c>
      <c r="B7" s="29" t="n">
        <v>1450000</v>
      </c>
      <c r="C7" s="2" t="inlineStr">
        <is>
          <t>USD</t>
        </is>
      </c>
      <c r="D7" s="2" t="inlineStr">
        <is>
          <t>Input</t>
        </is>
      </c>
    </row>
    <row r="8">
      <c r="A8" s="2" t="inlineStr">
        <is>
          <t>Current Total Capital</t>
        </is>
      </c>
      <c r="B8" s="30">
        <f>SUM(B5:B7)</f>
        <v/>
      </c>
      <c r="C8" s="2" t="inlineStr">
        <is>
          <t>USD</t>
        </is>
      </c>
      <c r="D8" s="2" t="inlineStr">
        <is>
          <t>Formula</t>
        </is>
      </c>
    </row>
    <row r="9">
      <c r="A9" s="2" t="inlineStr">
        <is>
          <t>Minimum Reserve</t>
        </is>
      </c>
      <c r="B9" s="29" t="n">
        <v>850000</v>
      </c>
      <c r="C9" s="2" t="inlineStr">
        <is>
          <t>USD</t>
        </is>
      </c>
      <c r="D9" s="2" t="inlineStr">
        <is>
          <t>Input</t>
        </is>
      </c>
    </row>
    <row r="10">
      <c r="A10" s="2" t="inlineStr">
        <is>
          <t>Monthly Operating Expenses</t>
        </is>
      </c>
      <c r="B10" s="29" t="n">
        <v>145000</v>
      </c>
      <c r="C10" s="2" t="inlineStr">
        <is>
          <t>USD/month</t>
        </is>
      </c>
      <c r="D10" s="2" t="inlineStr">
        <is>
          <t>Input</t>
        </is>
      </c>
    </row>
    <row r="11">
      <c r="A11" s="2" t="inlineStr">
        <is>
          <t>Other Operating Expenses</t>
        </is>
      </c>
      <c r="B11" s="29" t="n">
        <v>18000</v>
      </c>
      <c r="C11" s="2" t="inlineStr">
        <is>
          <t>USD/month</t>
        </is>
      </c>
      <c r="D11" s="2" t="inlineStr">
        <is>
          <t>Input</t>
        </is>
      </c>
    </row>
    <row r="12">
      <c r="A12" s="2" t="inlineStr">
        <is>
          <t>Other Income</t>
        </is>
      </c>
      <c r="B12" s="29" t="n">
        <v>20000</v>
      </c>
      <c r="C12" s="2" t="inlineStr">
        <is>
          <t>USD/month</t>
        </is>
      </c>
      <c r="D12" s="2" t="inlineStr">
        <is>
          <t>Input</t>
        </is>
      </c>
    </row>
    <row r="13">
      <c r="A13" s="2" t="inlineStr">
        <is>
          <t>Monthly FX Allocation Target</t>
        </is>
      </c>
      <c r="B13" s="29" t="n">
        <v>35000</v>
      </c>
      <c r="C13" s="2" t="inlineStr">
        <is>
          <t>USD/month</t>
        </is>
      </c>
      <c r="D13" s="2" t="inlineStr">
        <is>
          <t>Input</t>
        </is>
      </c>
    </row>
    <row r="14">
      <c r="A14" s="2" t="inlineStr">
        <is>
          <t>Tax/Fee Rate</t>
        </is>
      </c>
      <c r="B14" s="63" t="n">
        <v>0.075</v>
      </c>
      <c r="C14" s="2" t="inlineStr">
        <is>
          <t>%</t>
        </is>
      </c>
      <c r="D14" s="2" t="inlineStr">
        <is>
          <t>Input</t>
        </is>
      </c>
    </row>
    <row r="15">
      <c r="A15" s="2" t="inlineStr">
        <is>
          <t>Opening USD/FCU Rate</t>
        </is>
      </c>
      <c r="B15" s="64" t="n">
        <v>1.2</v>
      </c>
      <c r="C15" s="2" t="inlineStr">
        <is>
          <t>USD/FCU</t>
        </is>
      </c>
      <c r="D15" s="2" t="inlineStr">
        <is>
          <t>Input</t>
        </is>
      </c>
    </row>
    <row r="16">
      <c r="A16" s="2" t="inlineStr">
        <is>
          <t>Opening FCU Units</t>
        </is>
      </c>
      <c r="B16" s="65">
        <f>B7/B15</f>
        <v/>
      </c>
      <c r="C16" s="2" t="inlineStr">
        <is>
          <t>FCU units</t>
        </is>
      </c>
      <c r="D16" s="2" t="inlineStr">
        <is>
          <t>Formula</t>
        </is>
      </c>
    </row>
    <row r="17">
      <c r="A17" s="2" t="inlineStr">
        <is>
          <t>Day-Count Basis</t>
        </is>
      </c>
      <c r="B17" s="34" t="n">
        <v>365</v>
      </c>
      <c r="C17" s="2" t="inlineStr">
        <is>
          <t>days</t>
        </is>
      </c>
      <c r="D17" s="2" t="inlineStr">
        <is>
          <t>Input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Term Deposits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— 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5" t="inlineStr">
        <is>
          <t>Deposit ID</t>
        </is>
      </c>
      <c r="B4" s="5" t="inlineStr">
        <is>
          <t>Institution</t>
        </is>
      </c>
      <c r="C4" s="5" t="inlineStr">
        <is>
          <t>Principal</t>
        </is>
      </c>
      <c r="D4" s="5" t="inlineStr">
        <is>
          <t>Start Date</t>
        </is>
      </c>
      <c r="E4" s="5" t="inlineStr">
        <is>
          <t>Maturity Date</t>
        </is>
      </c>
      <c r="F4" s="5" t="inlineStr">
        <is>
          <t>Term Days</t>
        </is>
      </c>
      <c r="G4" s="5" t="inlineStr">
        <is>
          <t>Gross Rate %</t>
        </is>
      </c>
      <c r="H4" s="5" t="inlineStr">
        <is>
          <t>Tax/Fee %</t>
        </is>
      </c>
      <c r="I4" s="5" t="inlineStr">
        <is>
          <t>Net Rate %</t>
        </is>
      </c>
      <c r="J4" s="5" t="inlineStr">
        <is>
          <t>Gross Interest</t>
        </is>
      </c>
      <c r="K4" s="5" t="inlineStr">
        <is>
          <t>Net Interest</t>
        </is>
      </c>
      <c r="L4" s="5" t="inlineStr">
        <is>
          <t>Ending Balance</t>
        </is>
      </c>
      <c r="M4" s="5" t="inlineStr">
        <is>
          <t>Status</t>
        </is>
      </c>
    </row>
    <row r="5">
      <c r="A5" s="2" t="inlineStr">
        <is>
          <t>TD-001</t>
        </is>
      </c>
      <c r="B5" s="2" t="inlineStr">
        <is>
          <t>Institution A</t>
        </is>
      </c>
      <c r="C5" s="35" t="n">
        <v>950000</v>
      </c>
      <c r="D5" s="66" t="n">
        <v>46266</v>
      </c>
      <c r="E5" s="66" t="n">
        <v>46386</v>
      </c>
      <c r="F5" s="37">
        <f>E5-D5</f>
        <v/>
      </c>
      <c r="G5" s="67" t="n">
        <v>0.045</v>
      </c>
      <c r="H5" s="62">
        <f>'02_INPUTS'!$B$14</f>
        <v/>
      </c>
      <c r="I5" s="62">
        <f>G5*(1-H5)</f>
        <v/>
      </c>
      <c r="J5" s="30">
        <f>C5*G5*F5/'02_INPUTS'!$B$17</f>
        <v/>
      </c>
      <c r="K5" s="30">
        <f>J5*(1-H5)</f>
        <v/>
      </c>
      <c r="L5" s="30">
        <f>C5+K5</f>
        <v/>
      </c>
      <c r="M5" s="37">
        <f>IF(E5&gt;=DATE(2026,9,1),"ACTIVE","MATURED")</f>
        <v/>
      </c>
    </row>
    <row r="6">
      <c r="A6" s="2" t="inlineStr">
        <is>
          <t>TD-002</t>
        </is>
      </c>
      <c r="B6" s="2" t="inlineStr">
        <is>
          <t>Institution B</t>
        </is>
      </c>
      <c r="C6" s="35" t="n">
        <v>875000</v>
      </c>
      <c r="D6" s="66" t="n">
        <v>46296</v>
      </c>
      <c r="E6" s="66" t="n">
        <v>46446</v>
      </c>
      <c r="F6" s="37">
        <f>E6-D6</f>
        <v/>
      </c>
      <c r="G6" s="67" t="n">
        <v>0.048</v>
      </c>
      <c r="H6" s="62">
        <f>'02_INPUTS'!$B$14</f>
        <v/>
      </c>
      <c r="I6" s="62">
        <f>G6*(1-H6)</f>
        <v/>
      </c>
      <c r="J6" s="30">
        <f>C6*G6*F6/'02_INPUTS'!$B$17</f>
        <v/>
      </c>
      <c r="K6" s="30">
        <f>J6*(1-H6)</f>
        <v/>
      </c>
      <c r="L6" s="30">
        <f>C6+K6</f>
        <v/>
      </c>
      <c r="M6" s="37">
        <f>IF(E6&gt;=DATE(2026,9,1),"ACTIVE","MATURED")</f>
        <v/>
      </c>
    </row>
    <row r="7">
      <c r="A7" s="2" t="inlineStr">
        <is>
          <t>TD-003</t>
        </is>
      </c>
      <c r="B7" s="2" t="inlineStr">
        <is>
          <t>Institution C</t>
        </is>
      </c>
      <c r="C7" s="35" t="n">
        <v>1025000</v>
      </c>
      <c r="D7" s="66" t="n">
        <v>46327</v>
      </c>
      <c r="E7" s="66" t="n">
        <v>46538</v>
      </c>
      <c r="F7" s="37">
        <f>E7-D7</f>
        <v/>
      </c>
      <c r="G7" s="67" t="n">
        <v>0.05</v>
      </c>
      <c r="H7" s="62">
        <f>'02_INPUTS'!$B$14</f>
        <v/>
      </c>
      <c r="I7" s="62">
        <f>G7*(1-H7)</f>
        <v/>
      </c>
      <c r="J7" s="30">
        <f>C7*G7*F7/'02_INPUTS'!$B$17</f>
        <v/>
      </c>
      <c r="K7" s="30">
        <f>J7*(1-H7)</f>
        <v/>
      </c>
      <c r="L7" s="30">
        <f>C7+K7</f>
        <v/>
      </c>
      <c r="M7" s="37">
        <f>IF(E7&gt;=DATE(2026,9,1),"ACTIVE","MATURED")</f>
        <v/>
      </c>
    </row>
    <row r="8">
      <c r="A8" s="2" t="inlineStr">
        <is>
          <t>TD-004</t>
        </is>
      </c>
      <c r="B8" s="2" t="inlineStr">
        <is>
          <t>Treasury Counterparty 1</t>
        </is>
      </c>
      <c r="C8" s="35" t="n">
        <v>950000</v>
      </c>
      <c r="D8" s="66" t="n">
        <v>46357</v>
      </c>
      <c r="E8" s="66" t="n">
        <v>46630</v>
      </c>
      <c r="F8" s="37">
        <f>E8-D8</f>
        <v/>
      </c>
      <c r="G8" s="67" t="n">
        <v>0.052</v>
      </c>
      <c r="H8" s="62">
        <f>'02_INPUTS'!$B$14</f>
        <v/>
      </c>
      <c r="I8" s="62">
        <f>G8*(1-H8)</f>
        <v/>
      </c>
      <c r="J8" s="30">
        <f>C8*G8*F8/'02_INPUTS'!$B$17</f>
        <v/>
      </c>
      <c r="K8" s="30">
        <f>J8*(1-H8)</f>
        <v/>
      </c>
      <c r="L8" s="30">
        <f>C8+K8</f>
        <v/>
      </c>
      <c r="M8" s="37">
        <f>IF(E8&gt;=DATE(2026,9,1),"ACTIVE","MATURED")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5" customWidth="1" min="17" max="17"/>
    <col width="15" customWidth="1" min="18" max="18"/>
  </cols>
  <sheetData>
    <row r="1">
      <c r="A1" s="1" t="inlineStr">
        <is>
          <t>Base Cash Flow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— 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5" t="inlineStr">
        <is>
          <t>Month</t>
        </is>
      </c>
      <c r="B4" s="5" t="inlineStr">
        <is>
          <t>Opening Cash</t>
        </is>
      </c>
      <c r="C4" s="5" t="inlineStr">
        <is>
          <t>Investment Income</t>
        </is>
      </c>
      <c r="D4" s="5" t="inlineStr">
        <is>
          <t>Other Income</t>
        </is>
      </c>
      <c r="E4" s="5" t="inlineStr">
        <is>
          <t>Operating Expenses</t>
        </is>
      </c>
      <c r="F4" s="5" t="inlineStr">
        <is>
          <t>Other OpEx</t>
        </is>
      </c>
      <c r="G4" s="5" t="inlineStr">
        <is>
          <t>Maturity Principal</t>
        </is>
      </c>
      <c r="H4" s="5" t="inlineStr">
        <is>
          <t>Pre-Allocation Cash</t>
        </is>
      </c>
      <c r="I4" s="5" t="inlineStr">
        <is>
          <t>Minimum Reserve</t>
        </is>
      </c>
      <c r="J4" s="5" t="inlineStr">
        <is>
          <t>Excess Liquidity</t>
        </is>
      </c>
      <c r="K4" s="5" t="inlineStr">
        <is>
          <t>Actual Allocation</t>
        </is>
      </c>
      <c r="L4" s="5" t="inlineStr">
        <is>
          <t>Closing Cash</t>
        </is>
      </c>
      <c r="M4" s="5" t="inlineStr">
        <is>
          <t>Cash Flow Rec.</t>
        </is>
      </c>
      <c r="N4" s="5" t="inlineStr">
        <is>
          <t>Term Deposits</t>
        </is>
      </c>
      <c r="O4" s="5" t="inlineStr">
        <is>
          <t>FX Assets USD</t>
        </is>
      </c>
      <c r="P4" s="5" t="inlineStr">
        <is>
          <t>Total Capital</t>
        </is>
      </c>
    </row>
    <row r="5">
      <c r="A5" s="68" t="n">
        <v>46266</v>
      </c>
      <c r="B5" s="30">
        <f>'02_INPUTS'!$B$5</f>
        <v/>
      </c>
      <c r="C5" s="30">
        <f>SUMPRODUCT(--('03_DEPOSITS'!$D$5:$D$8&lt;=A5),--('03_DEPOSITS'!$E$5:$E$8&gt;=A5),'03_DEPOSITS'!$C$5:$C$8,'03_DEPOSITS'!$I$5:$I$8)/12*'06_SCENARIOS'!$B$5</f>
        <v/>
      </c>
      <c r="D5" s="30">
        <f>'02_INPUTS'!$B$12</f>
        <v/>
      </c>
      <c r="E5" s="30">
        <f>'02_INPUTS'!$B$10*(1+'06_SCENARIOS'!$C$5)^0</f>
        <v/>
      </c>
      <c r="F5" s="30">
        <f>'02_INPUTS'!$B$11*(1+'06_SCENARIOS'!$C$5)^0</f>
        <v/>
      </c>
      <c r="G5" s="30">
        <f>SUMIFS('03_DEPOSITS'!$C$5:$C$8,'03_DEPOSITS'!$E$5:$E$8,A5)</f>
        <v/>
      </c>
      <c r="H5" s="30">
        <f>B5+C5+D5-E5-F5+G5</f>
        <v/>
      </c>
      <c r="I5" s="30">
        <f>'02_INPUTS'!$B$9*'06_SCENARIOS'!$E$5</f>
        <v/>
      </c>
      <c r="J5" s="30">
        <f>MAX(0,H5-I5)</f>
        <v/>
      </c>
      <c r="K5" s="30">
        <f>'05_FX_ALLOCATION'!H5</f>
        <v/>
      </c>
      <c r="L5" s="30">
        <f>H5-K5</f>
        <v/>
      </c>
      <c r="M5" s="30">
        <f>B5+C5+D5-E5-F5+G5-K5-L5</f>
        <v/>
      </c>
      <c r="N5" s="30">
        <f>'02_INPUTS'!$B$6-SUM($G$5:G5)</f>
        <v/>
      </c>
      <c r="O5" s="30">
        <f>'05_FX_ALLOCATION'!M5</f>
        <v/>
      </c>
      <c r="P5" s="30">
        <f>L5+N5+O5</f>
        <v/>
      </c>
    </row>
    <row r="6">
      <c r="A6" s="68" t="n">
        <v>46296</v>
      </c>
      <c r="B6" s="30">
        <f>L5</f>
        <v/>
      </c>
      <c r="C6" s="30">
        <f>SUMPRODUCT(--('03_DEPOSITS'!$D$5:$D$8&lt;=A6),--('03_DEPOSITS'!$E$5:$E$8&gt;=A6),'03_DEPOSITS'!$C$5:$C$8,'03_DEPOSITS'!$I$5:$I$8)/12*'06_SCENARIOS'!$B$5</f>
        <v/>
      </c>
      <c r="D6" s="30">
        <f>'02_INPUTS'!$B$12</f>
        <v/>
      </c>
      <c r="E6" s="30">
        <f>'02_INPUTS'!$B$10*(1+'06_SCENARIOS'!$C$5)^1</f>
        <v/>
      </c>
      <c r="F6" s="30">
        <f>'02_INPUTS'!$B$11*(1+'06_SCENARIOS'!$C$5)^1</f>
        <v/>
      </c>
      <c r="G6" s="30">
        <f>SUMIFS('03_DEPOSITS'!$C$5:$C$8,'03_DEPOSITS'!$E$5:$E$8,A6)</f>
        <v/>
      </c>
      <c r="H6" s="30">
        <f>B6+C6+D6-E6-F6+G6</f>
        <v/>
      </c>
      <c r="I6" s="30">
        <f>'02_INPUTS'!$B$9*'06_SCENARIOS'!$E$5</f>
        <v/>
      </c>
      <c r="J6" s="30">
        <f>MAX(0,H6-I6)</f>
        <v/>
      </c>
      <c r="K6" s="30">
        <f>'05_FX_ALLOCATION'!H6</f>
        <v/>
      </c>
      <c r="L6" s="30">
        <f>H6-K6</f>
        <v/>
      </c>
      <c r="M6" s="30">
        <f>B6+C6+D6-E6-F6+G6-K6-L6</f>
        <v/>
      </c>
      <c r="N6" s="30">
        <f>'02_INPUTS'!$B$6-SUM($G$5:G6)</f>
        <v/>
      </c>
      <c r="O6" s="30">
        <f>'05_FX_ALLOCATION'!M6</f>
        <v/>
      </c>
      <c r="P6" s="30">
        <f>L6+N6+O6</f>
        <v/>
      </c>
    </row>
    <row r="7">
      <c r="A7" s="68" t="n">
        <v>46327</v>
      </c>
      <c r="B7" s="30">
        <f>L6</f>
        <v/>
      </c>
      <c r="C7" s="30">
        <f>SUMPRODUCT(--('03_DEPOSITS'!$D$5:$D$8&lt;=A7),--('03_DEPOSITS'!$E$5:$E$8&gt;=A7),'03_DEPOSITS'!$C$5:$C$8,'03_DEPOSITS'!$I$5:$I$8)/12*'06_SCENARIOS'!$B$5</f>
        <v/>
      </c>
      <c r="D7" s="30">
        <f>'02_INPUTS'!$B$12</f>
        <v/>
      </c>
      <c r="E7" s="30">
        <f>'02_INPUTS'!$B$10*(1+'06_SCENARIOS'!$C$5)^2</f>
        <v/>
      </c>
      <c r="F7" s="30">
        <f>'02_INPUTS'!$B$11*(1+'06_SCENARIOS'!$C$5)^2</f>
        <v/>
      </c>
      <c r="G7" s="30">
        <f>SUMIFS('03_DEPOSITS'!$C$5:$C$8,'03_DEPOSITS'!$E$5:$E$8,A7)</f>
        <v/>
      </c>
      <c r="H7" s="30">
        <f>B7+C7+D7-E7-F7+G7</f>
        <v/>
      </c>
      <c r="I7" s="30">
        <f>'02_INPUTS'!$B$9*'06_SCENARIOS'!$E$5</f>
        <v/>
      </c>
      <c r="J7" s="30">
        <f>MAX(0,H7-I7)</f>
        <v/>
      </c>
      <c r="K7" s="30">
        <f>'05_FX_ALLOCATION'!H7</f>
        <v/>
      </c>
      <c r="L7" s="30">
        <f>H7-K7</f>
        <v/>
      </c>
      <c r="M7" s="30">
        <f>B7+C7+D7-E7-F7+G7-K7-L7</f>
        <v/>
      </c>
      <c r="N7" s="30">
        <f>'02_INPUTS'!$B$6-SUM($G$5:G7)</f>
        <v/>
      </c>
      <c r="O7" s="30">
        <f>'05_FX_ALLOCATION'!M7</f>
        <v/>
      </c>
      <c r="P7" s="30">
        <f>L7+N7+O7</f>
        <v/>
      </c>
    </row>
    <row r="8">
      <c r="A8" s="68" t="n">
        <v>46357</v>
      </c>
      <c r="B8" s="30">
        <f>L7</f>
        <v/>
      </c>
      <c r="C8" s="30">
        <f>SUMPRODUCT(--('03_DEPOSITS'!$D$5:$D$8&lt;=A8),--('03_DEPOSITS'!$E$5:$E$8&gt;=A8),'03_DEPOSITS'!$C$5:$C$8,'03_DEPOSITS'!$I$5:$I$8)/12*'06_SCENARIOS'!$B$5</f>
        <v/>
      </c>
      <c r="D8" s="30">
        <f>'02_INPUTS'!$B$12</f>
        <v/>
      </c>
      <c r="E8" s="30">
        <f>'02_INPUTS'!$B$10*(1+'06_SCENARIOS'!$C$5)^3</f>
        <v/>
      </c>
      <c r="F8" s="30">
        <f>'02_INPUTS'!$B$11*(1+'06_SCENARIOS'!$C$5)^3</f>
        <v/>
      </c>
      <c r="G8" s="30">
        <f>SUMIFS('03_DEPOSITS'!$C$5:$C$8,'03_DEPOSITS'!$E$5:$E$8,A8)</f>
        <v/>
      </c>
      <c r="H8" s="30">
        <f>B8+C8+D8-E8-F8+G8</f>
        <v/>
      </c>
      <c r="I8" s="30">
        <f>'02_INPUTS'!$B$9*'06_SCENARIOS'!$E$5</f>
        <v/>
      </c>
      <c r="J8" s="30">
        <f>MAX(0,H8-I8)</f>
        <v/>
      </c>
      <c r="K8" s="30">
        <f>'05_FX_ALLOCATION'!H8</f>
        <v/>
      </c>
      <c r="L8" s="30">
        <f>H8-K8</f>
        <v/>
      </c>
      <c r="M8" s="30">
        <f>B8+C8+D8-E8-F8+G8-K8-L8</f>
        <v/>
      </c>
      <c r="N8" s="30">
        <f>'02_INPUTS'!$B$6-SUM($G$5:G8)</f>
        <v/>
      </c>
      <c r="O8" s="30">
        <f>'05_FX_ALLOCATION'!M8</f>
        <v/>
      </c>
      <c r="P8" s="30">
        <f>L8+N8+O8</f>
        <v/>
      </c>
    </row>
    <row r="9">
      <c r="A9" s="68" t="n">
        <v>46388</v>
      </c>
      <c r="B9" s="30">
        <f>L8</f>
        <v/>
      </c>
      <c r="C9" s="30">
        <f>SUMPRODUCT(--('03_DEPOSITS'!$D$5:$D$8&lt;=A9),--('03_DEPOSITS'!$E$5:$E$8&gt;=A9),'03_DEPOSITS'!$C$5:$C$8,'03_DEPOSITS'!$I$5:$I$8)/12*'06_SCENARIOS'!$B$5</f>
        <v/>
      </c>
      <c r="D9" s="30">
        <f>'02_INPUTS'!$B$12</f>
        <v/>
      </c>
      <c r="E9" s="30">
        <f>'02_INPUTS'!$B$10*(1+'06_SCENARIOS'!$C$5)^4</f>
        <v/>
      </c>
      <c r="F9" s="30">
        <f>'02_INPUTS'!$B$11*(1+'06_SCENARIOS'!$C$5)^4</f>
        <v/>
      </c>
      <c r="G9" s="30">
        <f>SUMIFS('03_DEPOSITS'!$C$5:$C$8,'03_DEPOSITS'!$E$5:$E$8,A9)</f>
        <v/>
      </c>
      <c r="H9" s="30">
        <f>B9+C9+D9-E9-F9+G9</f>
        <v/>
      </c>
      <c r="I9" s="30">
        <f>'02_INPUTS'!$B$9*'06_SCENARIOS'!$E$5</f>
        <v/>
      </c>
      <c r="J9" s="30">
        <f>MAX(0,H9-I9)</f>
        <v/>
      </c>
      <c r="K9" s="30">
        <f>'05_FX_ALLOCATION'!H9</f>
        <v/>
      </c>
      <c r="L9" s="30">
        <f>H9-K9</f>
        <v/>
      </c>
      <c r="M9" s="30">
        <f>B9+C9+D9-E9-F9+G9-K9-L9</f>
        <v/>
      </c>
      <c r="N9" s="30">
        <f>'02_INPUTS'!$B$6-SUM($G$5:G9)</f>
        <v/>
      </c>
      <c r="O9" s="30">
        <f>'05_FX_ALLOCATION'!M9</f>
        <v/>
      </c>
      <c r="P9" s="30">
        <f>L9+N9+O9</f>
        <v/>
      </c>
    </row>
    <row r="10">
      <c r="A10" s="68" t="n">
        <v>46419</v>
      </c>
      <c r="B10" s="30">
        <f>L9</f>
        <v/>
      </c>
      <c r="C10" s="30">
        <f>SUMPRODUCT(--('03_DEPOSITS'!$D$5:$D$8&lt;=A10),--('03_DEPOSITS'!$E$5:$E$8&gt;=A10),'03_DEPOSITS'!$C$5:$C$8,'03_DEPOSITS'!$I$5:$I$8)/12*'06_SCENARIOS'!$B$5</f>
        <v/>
      </c>
      <c r="D10" s="30">
        <f>'02_INPUTS'!$B$12</f>
        <v/>
      </c>
      <c r="E10" s="30">
        <f>'02_INPUTS'!$B$10*(1+'06_SCENARIOS'!$C$5)^5</f>
        <v/>
      </c>
      <c r="F10" s="30">
        <f>'02_INPUTS'!$B$11*(1+'06_SCENARIOS'!$C$5)^5</f>
        <v/>
      </c>
      <c r="G10" s="30">
        <f>SUMIFS('03_DEPOSITS'!$C$5:$C$8,'03_DEPOSITS'!$E$5:$E$8,A10)</f>
        <v/>
      </c>
      <c r="H10" s="30">
        <f>B10+C10+D10-E10-F10+G10</f>
        <v/>
      </c>
      <c r="I10" s="30">
        <f>'02_INPUTS'!$B$9*'06_SCENARIOS'!$E$5</f>
        <v/>
      </c>
      <c r="J10" s="30">
        <f>MAX(0,H10-I10)</f>
        <v/>
      </c>
      <c r="K10" s="30">
        <f>'05_FX_ALLOCATION'!H10</f>
        <v/>
      </c>
      <c r="L10" s="30">
        <f>H10-K10</f>
        <v/>
      </c>
      <c r="M10" s="30">
        <f>B10+C10+D10-E10-F10+G10-K10-L10</f>
        <v/>
      </c>
      <c r="N10" s="30">
        <f>'02_INPUTS'!$B$6-SUM($G$5:G10)</f>
        <v/>
      </c>
      <c r="O10" s="30">
        <f>'05_FX_ALLOCATION'!M10</f>
        <v/>
      </c>
      <c r="P10" s="30">
        <f>L10+N10+O10</f>
        <v/>
      </c>
    </row>
    <row r="11">
      <c r="A11" s="68" t="n">
        <v>46447</v>
      </c>
      <c r="B11" s="30">
        <f>L10</f>
        <v/>
      </c>
      <c r="C11" s="30">
        <f>SUMPRODUCT(--('03_DEPOSITS'!$D$5:$D$8&lt;=A11),--('03_DEPOSITS'!$E$5:$E$8&gt;=A11),'03_DEPOSITS'!$C$5:$C$8,'03_DEPOSITS'!$I$5:$I$8)/12*'06_SCENARIOS'!$B$5</f>
        <v/>
      </c>
      <c r="D11" s="30">
        <f>'02_INPUTS'!$B$12</f>
        <v/>
      </c>
      <c r="E11" s="30">
        <f>'02_INPUTS'!$B$10*(1+'06_SCENARIOS'!$C$5)^6</f>
        <v/>
      </c>
      <c r="F11" s="30">
        <f>'02_INPUTS'!$B$11*(1+'06_SCENARIOS'!$C$5)^6</f>
        <v/>
      </c>
      <c r="G11" s="30">
        <f>SUMIFS('03_DEPOSITS'!$C$5:$C$8,'03_DEPOSITS'!$E$5:$E$8,A11)</f>
        <v/>
      </c>
      <c r="H11" s="30">
        <f>B11+C11+D11-E11-F11+G11</f>
        <v/>
      </c>
      <c r="I11" s="30">
        <f>'02_INPUTS'!$B$9*'06_SCENARIOS'!$E$5</f>
        <v/>
      </c>
      <c r="J11" s="30">
        <f>MAX(0,H11-I11)</f>
        <v/>
      </c>
      <c r="K11" s="30">
        <f>'05_FX_ALLOCATION'!H11</f>
        <v/>
      </c>
      <c r="L11" s="30">
        <f>H11-K11</f>
        <v/>
      </c>
      <c r="M11" s="30">
        <f>B11+C11+D11-E11-F11+G11-K11-L11</f>
        <v/>
      </c>
      <c r="N11" s="30">
        <f>'02_INPUTS'!$B$6-SUM($G$5:G11)</f>
        <v/>
      </c>
      <c r="O11" s="30">
        <f>'05_FX_ALLOCATION'!M11</f>
        <v/>
      </c>
      <c r="P11" s="30">
        <f>L11+N11+O11</f>
        <v/>
      </c>
    </row>
    <row r="12">
      <c r="A12" s="68" t="n">
        <v>46478</v>
      </c>
      <c r="B12" s="30">
        <f>L11</f>
        <v/>
      </c>
      <c r="C12" s="30">
        <f>SUMPRODUCT(--('03_DEPOSITS'!$D$5:$D$8&lt;=A12),--('03_DEPOSITS'!$E$5:$E$8&gt;=A12),'03_DEPOSITS'!$C$5:$C$8,'03_DEPOSITS'!$I$5:$I$8)/12*'06_SCENARIOS'!$B$5</f>
        <v/>
      </c>
      <c r="D12" s="30">
        <f>'02_INPUTS'!$B$12</f>
        <v/>
      </c>
      <c r="E12" s="30">
        <f>'02_INPUTS'!$B$10*(1+'06_SCENARIOS'!$C$5)^7</f>
        <v/>
      </c>
      <c r="F12" s="30">
        <f>'02_INPUTS'!$B$11*(1+'06_SCENARIOS'!$C$5)^7</f>
        <v/>
      </c>
      <c r="G12" s="30">
        <f>SUMIFS('03_DEPOSITS'!$C$5:$C$8,'03_DEPOSITS'!$E$5:$E$8,A12)</f>
        <v/>
      </c>
      <c r="H12" s="30">
        <f>B12+C12+D12-E12-F12+G12</f>
        <v/>
      </c>
      <c r="I12" s="30">
        <f>'02_INPUTS'!$B$9*'06_SCENARIOS'!$E$5</f>
        <v/>
      </c>
      <c r="J12" s="30">
        <f>MAX(0,H12-I12)</f>
        <v/>
      </c>
      <c r="K12" s="30">
        <f>'05_FX_ALLOCATION'!H12</f>
        <v/>
      </c>
      <c r="L12" s="30">
        <f>H12-K12</f>
        <v/>
      </c>
      <c r="M12" s="30">
        <f>B12+C12+D12-E12-F12+G12-K12-L12</f>
        <v/>
      </c>
      <c r="N12" s="30">
        <f>'02_INPUTS'!$B$6-SUM($G$5:G12)</f>
        <v/>
      </c>
      <c r="O12" s="30">
        <f>'05_FX_ALLOCATION'!M12</f>
        <v/>
      </c>
      <c r="P12" s="30">
        <f>L12+N12+O12</f>
        <v/>
      </c>
    </row>
    <row r="13">
      <c r="A13" s="68" t="n">
        <v>46508</v>
      </c>
      <c r="B13" s="30">
        <f>L12</f>
        <v/>
      </c>
      <c r="C13" s="30">
        <f>SUMPRODUCT(--('03_DEPOSITS'!$D$5:$D$8&lt;=A13),--('03_DEPOSITS'!$E$5:$E$8&gt;=A13),'03_DEPOSITS'!$C$5:$C$8,'03_DEPOSITS'!$I$5:$I$8)/12*'06_SCENARIOS'!$B$5</f>
        <v/>
      </c>
      <c r="D13" s="30">
        <f>'02_INPUTS'!$B$12</f>
        <v/>
      </c>
      <c r="E13" s="30">
        <f>'02_INPUTS'!$B$10*(1+'06_SCENARIOS'!$C$5)^8</f>
        <v/>
      </c>
      <c r="F13" s="30">
        <f>'02_INPUTS'!$B$11*(1+'06_SCENARIOS'!$C$5)^8</f>
        <v/>
      </c>
      <c r="G13" s="30">
        <f>SUMIFS('03_DEPOSITS'!$C$5:$C$8,'03_DEPOSITS'!$E$5:$E$8,A13)</f>
        <v/>
      </c>
      <c r="H13" s="30">
        <f>B13+C13+D13-E13-F13+G13</f>
        <v/>
      </c>
      <c r="I13" s="30">
        <f>'02_INPUTS'!$B$9*'06_SCENARIOS'!$E$5</f>
        <v/>
      </c>
      <c r="J13" s="30">
        <f>MAX(0,H13-I13)</f>
        <v/>
      </c>
      <c r="K13" s="30">
        <f>'05_FX_ALLOCATION'!H13</f>
        <v/>
      </c>
      <c r="L13" s="30">
        <f>H13-K13</f>
        <v/>
      </c>
      <c r="M13" s="30">
        <f>B13+C13+D13-E13-F13+G13-K13-L13</f>
        <v/>
      </c>
      <c r="N13" s="30">
        <f>'02_INPUTS'!$B$6-SUM($G$5:G13)</f>
        <v/>
      </c>
      <c r="O13" s="30">
        <f>'05_FX_ALLOCATION'!M13</f>
        <v/>
      </c>
      <c r="P13" s="30">
        <f>L13+N13+O13</f>
        <v/>
      </c>
    </row>
    <row r="14">
      <c r="A14" s="68" t="n">
        <v>46539</v>
      </c>
      <c r="B14" s="30">
        <f>L13</f>
        <v/>
      </c>
      <c r="C14" s="30">
        <f>SUMPRODUCT(--('03_DEPOSITS'!$D$5:$D$8&lt;=A14),--('03_DEPOSITS'!$E$5:$E$8&gt;=A14),'03_DEPOSITS'!$C$5:$C$8,'03_DEPOSITS'!$I$5:$I$8)/12*'06_SCENARIOS'!$B$5</f>
        <v/>
      </c>
      <c r="D14" s="30">
        <f>'02_INPUTS'!$B$12</f>
        <v/>
      </c>
      <c r="E14" s="30">
        <f>'02_INPUTS'!$B$10*(1+'06_SCENARIOS'!$C$5)^9</f>
        <v/>
      </c>
      <c r="F14" s="30">
        <f>'02_INPUTS'!$B$11*(1+'06_SCENARIOS'!$C$5)^9</f>
        <v/>
      </c>
      <c r="G14" s="30">
        <f>SUMIFS('03_DEPOSITS'!$C$5:$C$8,'03_DEPOSITS'!$E$5:$E$8,A14)</f>
        <v/>
      </c>
      <c r="H14" s="30">
        <f>B14+C14+D14-E14-F14+G14</f>
        <v/>
      </c>
      <c r="I14" s="30">
        <f>'02_INPUTS'!$B$9*'06_SCENARIOS'!$E$5</f>
        <v/>
      </c>
      <c r="J14" s="30">
        <f>MAX(0,H14-I14)</f>
        <v/>
      </c>
      <c r="K14" s="30">
        <f>'05_FX_ALLOCATION'!H14</f>
        <v/>
      </c>
      <c r="L14" s="30">
        <f>H14-K14</f>
        <v/>
      </c>
      <c r="M14" s="30">
        <f>B14+C14+D14-E14-F14+G14-K14-L14</f>
        <v/>
      </c>
      <c r="N14" s="30">
        <f>'02_INPUTS'!$B$6-SUM($G$5:G14)</f>
        <v/>
      </c>
      <c r="O14" s="30">
        <f>'05_FX_ALLOCATION'!M14</f>
        <v/>
      </c>
      <c r="P14" s="30">
        <f>L14+N14+O14</f>
        <v/>
      </c>
    </row>
    <row r="15">
      <c r="A15" s="68" t="n">
        <v>46569</v>
      </c>
      <c r="B15" s="30">
        <f>L14</f>
        <v/>
      </c>
      <c r="C15" s="30">
        <f>SUMPRODUCT(--('03_DEPOSITS'!$D$5:$D$8&lt;=A15),--('03_DEPOSITS'!$E$5:$E$8&gt;=A15),'03_DEPOSITS'!$C$5:$C$8,'03_DEPOSITS'!$I$5:$I$8)/12*'06_SCENARIOS'!$B$5</f>
        <v/>
      </c>
      <c r="D15" s="30">
        <f>'02_INPUTS'!$B$12</f>
        <v/>
      </c>
      <c r="E15" s="30">
        <f>'02_INPUTS'!$B$10*(1+'06_SCENARIOS'!$C$5)^10</f>
        <v/>
      </c>
      <c r="F15" s="30">
        <f>'02_INPUTS'!$B$11*(1+'06_SCENARIOS'!$C$5)^10</f>
        <v/>
      </c>
      <c r="G15" s="30">
        <f>SUMIFS('03_DEPOSITS'!$C$5:$C$8,'03_DEPOSITS'!$E$5:$E$8,A15)</f>
        <v/>
      </c>
      <c r="H15" s="30">
        <f>B15+C15+D15-E15-F15+G15</f>
        <v/>
      </c>
      <c r="I15" s="30">
        <f>'02_INPUTS'!$B$9*'06_SCENARIOS'!$E$5</f>
        <v/>
      </c>
      <c r="J15" s="30">
        <f>MAX(0,H15-I15)</f>
        <v/>
      </c>
      <c r="K15" s="30">
        <f>'05_FX_ALLOCATION'!H15</f>
        <v/>
      </c>
      <c r="L15" s="30">
        <f>H15-K15</f>
        <v/>
      </c>
      <c r="M15" s="30">
        <f>B15+C15+D15-E15-F15+G15-K15-L15</f>
        <v/>
      </c>
      <c r="N15" s="30">
        <f>'02_INPUTS'!$B$6-SUM($G$5:G15)</f>
        <v/>
      </c>
      <c r="O15" s="30">
        <f>'05_FX_ALLOCATION'!M15</f>
        <v/>
      </c>
      <c r="P15" s="30">
        <f>L15+N15+O15</f>
        <v/>
      </c>
    </row>
    <row r="16">
      <c r="A16" s="68" t="n">
        <v>46600</v>
      </c>
      <c r="B16" s="30">
        <f>L15</f>
        <v/>
      </c>
      <c r="C16" s="30">
        <f>SUMPRODUCT(--('03_DEPOSITS'!$D$5:$D$8&lt;=A16),--('03_DEPOSITS'!$E$5:$E$8&gt;=A16),'03_DEPOSITS'!$C$5:$C$8,'03_DEPOSITS'!$I$5:$I$8)/12*'06_SCENARIOS'!$B$5</f>
        <v/>
      </c>
      <c r="D16" s="30">
        <f>'02_INPUTS'!$B$12</f>
        <v/>
      </c>
      <c r="E16" s="30">
        <f>'02_INPUTS'!$B$10*(1+'06_SCENARIOS'!$C$5)^11</f>
        <v/>
      </c>
      <c r="F16" s="30">
        <f>'02_INPUTS'!$B$11*(1+'06_SCENARIOS'!$C$5)^11</f>
        <v/>
      </c>
      <c r="G16" s="30">
        <f>SUMIFS('03_DEPOSITS'!$C$5:$C$8,'03_DEPOSITS'!$E$5:$E$8,A16)</f>
        <v/>
      </c>
      <c r="H16" s="30">
        <f>B16+C16+D16-E16-F16+G16</f>
        <v/>
      </c>
      <c r="I16" s="30">
        <f>'02_INPUTS'!$B$9*'06_SCENARIOS'!$E$5</f>
        <v/>
      </c>
      <c r="J16" s="30">
        <f>MAX(0,H16-I16)</f>
        <v/>
      </c>
      <c r="K16" s="30">
        <f>'05_FX_ALLOCATION'!H16</f>
        <v/>
      </c>
      <c r="L16" s="30">
        <f>H16-K16</f>
        <v/>
      </c>
      <c r="M16" s="30">
        <f>B16+C16+D16-E16-F16+G16-K16-L16</f>
        <v/>
      </c>
      <c r="N16" s="30">
        <f>'02_INPUTS'!$B$6-SUM($G$5:G16)</f>
        <v/>
      </c>
      <c r="O16" s="30">
        <f>'05_FX_ALLOCATION'!M16</f>
        <v/>
      </c>
      <c r="P16" s="30">
        <f>L16+N16+O16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5" customWidth="1" min="17" max="17"/>
    <col width="15" customWidth="1" min="18" max="18"/>
  </cols>
  <sheetData>
    <row r="1">
      <c r="A1" s="1" t="inlineStr">
        <is>
          <t>FX Allocation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— 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5" t="inlineStr">
        <is>
          <t>Month</t>
        </is>
      </c>
      <c r="B4" s="5" t="inlineStr">
        <is>
          <t>Pre-Allocation Cash</t>
        </is>
      </c>
      <c r="C4" s="5" t="inlineStr">
        <is>
          <t>Reserve</t>
        </is>
      </c>
      <c r="D4" s="5" t="inlineStr">
        <is>
          <t>Excess Liquidity</t>
        </is>
      </c>
      <c r="E4" s="5" t="inlineStr">
        <is>
          <t>Target Allocation</t>
        </is>
      </c>
      <c r="F4" s="5" t="inlineStr">
        <is>
          <t>Allocation Limit</t>
        </is>
      </c>
      <c r="G4" s="5" t="inlineStr">
        <is>
          <t>Mode</t>
        </is>
      </c>
      <c r="H4" s="5" t="inlineStr">
        <is>
          <t>USD Allocation</t>
        </is>
      </c>
      <c r="I4" s="5" t="inlineStr">
        <is>
          <t>USD/FCU Rate</t>
        </is>
      </c>
      <c r="J4" s="5" t="inlineStr">
        <is>
          <t>FCU Purchased</t>
        </is>
      </c>
      <c r="K4" s="5" t="inlineStr">
        <is>
          <t>Cumulative FCU Units</t>
        </is>
      </c>
      <c r="L4" s="5" t="inlineStr">
        <is>
          <t>USD Cost Basis</t>
        </is>
      </c>
      <c r="M4" s="5" t="inlineStr">
        <is>
          <t>FX Assets USD</t>
        </is>
      </c>
      <c r="N4" s="5" t="inlineStr">
        <is>
          <t>Unrealized Gain/Loss</t>
        </is>
      </c>
      <c r="O4" s="5" t="inlineStr">
        <is>
          <t>FX Exposure %</t>
        </is>
      </c>
      <c r="P4" s="5" t="inlineStr">
        <is>
          <t>USD Conversion Rec.</t>
        </is>
      </c>
    </row>
    <row r="5">
      <c r="A5" s="69">
        <f>'04_CASH_FLOW'!A5</f>
        <v/>
      </c>
      <c r="B5" s="30">
        <f>'04_CASH_FLOW'!H5</f>
        <v/>
      </c>
      <c r="C5" s="30">
        <f>'04_CASH_FLOW'!I5</f>
        <v/>
      </c>
      <c r="D5" s="30">
        <f>'04_CASH_FLOW'!J5</f>
        <v/>
      </c>
      <c r="E5" s="30">
        <f>'02_INPUTS'!$B$13*'06_SCENARIOS'!$F$5</f>
        <v/>
      </c>
      <c r="F5" s="30">
        <f>MIN(D5,E5)</f>
        <v/>
      </c>
      <c r="G5" s="2" t="inlineStr">
        <is>
          <t>AUTO</t>
        </is>
      </c>
      <c r="H5" s="30">
        <f>F5</f>
        <v/>
      </c>
      <c r="I5" s="70">
        <f>'02_INPUTS'!$B$15*(1+'06_SCENARIOS'!$D$5)^0</f>
        <v/>
      </c>
      <c r="J5" s="65">
        <f>H5/I5</f>
        <v/>
      </c>
      <c r="K5" s="65">
        <f>'02_INPUTS'!$B$16+SUM($J$5:J5)</f>
        <v/>
      </c>
      <c r="L5" s="30">
        <f>'02_INPUTS'!$B$7+SUM($H$5:H5)</f>
        <v/>
      </c>
      <c r="M5" s="30">
        <f>K5*I5</f>
        <v/>
      </c>
      <c r="N5" s="30">
        <f>M5-L5</f>
        <v/>
      </c>
      <c r="O5" s="62">
        <f>M5/'04_CASH_FLOW'!P5</f>
        <v/>
      </c>
      <c r="P5" s="30">
        <f>M5-K5*I5</f>
        <v/>
      </c>
    </row>
    <row r="6">
      <c r="A6" s="69">
        <f>'04_CASH_FLOW'!A6</f>
        <v/>
      </c>
      <c r="B6" s="30">
        <f>'04_CASH_FLOW'!H6</f>
        <v/>
      </c>
      <c r="C6" s="30">
        <f>'04_CASH_FLOW'!I6</f>
        <v/>
      </c>
      <c r="D6" s="30">
        <f>'04_CASH_FLOW'!J6</f>
        <v/>
      </c>
      <c r="E6" s="30">
        <f>'02_INPUTS'!$B$13*'06_SCENARIOS'!$F$5</f>
        <v/>
      </c>
      <c r="F6" s="30">
        <f>MIN(D6,E6)</f>
        <v/>
      </c>
      <c r="G6" s="2" t="inlineStr">
        <is>
          <t>AUTO</t>
        </is>
      </c>
      <c r="H6" s="30">
        <f>F6</f>
        <v/>
      </c>
      <c r="I6" s="70">
        <f>'02_INPUTS'!$B$15*(1+'06_SCENARIOS'!$D$5)^1</f>
        <v/>
      </c>
      <c r="J6" s="65">
        <f>H6/I6</f>
        <v/>
      </c>
      <c r="K6" s="65">
        <f>'02_INPUTS'!$B$16+SUM($J$5:J6)</f>
        <v/>
      </c>
      <c r="L6" s="30">
        <f>'02_INPUTS'!$B$7+SUM($H$5:H6)</f>
        <v/>
      </c>
      <c r="M6" s="30">
        <f>K6*I6</f>
        <v/>
      </c>
      <c r="N6" s="30">
        <f>M6-L6</f>
        <v/>
      </c>
      <c r="O6" s="62">
        <f>M6/'04_CASH_FLOW'!P6</f>
        <v/>
      </c>
      <c r="P6" s="30">
        <f>M6-K6*I6</f>
        <v/>
      </c>
    </row>
    <row r="7">
      <c r="A7" s="69">
        <f>'04_CASH_FLOW'!A7</f>
        <v/>
      </c>
      <c r="B7" s="30">
        <f>'04_CASH_FLOW'!H7</f>
        <v/>
      </c>
      <c r="C7" s="30">
        <f>'04_CASH_FLOW'!I7</f>
        <v/>
      </c>
      <c r="D7" s="30">
        <f>'04_CASH_FLOW'!J7</f>
        <v/>
      </c>
      <c r="E7" s="30">
        <f>'02_INPUTS'!$B$13*'06_SCENARIOS'!$F$5</f>
        <v/>
      </c>
      <c r="F7" s="30">
        <f>MIN(D7,E7)</f>
        <v/>
      </c>
      <c r="G7" s="2" t="inlineStr">
        <is>
          <t>AUTO</t>
        </is>
      </c>
      <c r="H7" s="30">
        <f>F7</f>
        <v/>
      </c>
      <c r="I7" s="70">
        <f>'02_INPUTS'!$B$15*(1+'06_SCENARIOS'!$D$5)^2</f>
        <v/>
      </c>
      <c r="J7" s="65">
        <f>H7/I7</f>
        <v/>
      </c>
      <c r="K7" s="65">
        <f>'02_INPUTS'!$B$16+SUM($J$5:J7)</f>
        <v/>
      </c>
      <c r="L7" s="30">
        <f>'02_INPUTS'!$B$7+SUM($H$5:H7)</f>
        <v/>
      </c>
      <c r="M7" s="30">
        <f>K7*I7</f>
        <v/>
      </c>
      <c r="N7" s="30">
        <f>M7-L7</f>
        <v/>
      </c>
      <c r="O7" s="62">
        <f>M7/'04_CASH_FLOW'!P7</f>
        <v/>
      </c>
      <c r="P7" s="30">
        <f>M7-K7*I7</f>
        <v/>
      </c>
    </row>
    <row r="8">
      <c r="A8" s="69">
        <f>'04_CASH_FLOW'!A8</f>
        <v/>
      </c>
      <c r="B8" s="30">
        <f>'04_CASH_FLOW'!H8</f>
        <v/>
      </c>
      <c r="C8" s="30">
        <f>'04_CASH_FLOW'!I8</f>
        <v/>
      </c>
      <c r="D8" s="30">
        <f>'04_CASH_FLOW'!J8</f>
        <v/>
      </c>
      <c r="E8" s="30">
        <f>'02_INPUTS'!$B$13*'06_SCENARIOS'!$F$5</f>
        <v/>
      </c>
      <c r="F8" s="30">
        <f>MIN(D8,E8)</f>
        <v/>
      </c>
      <c r="G8" s="2" t="inlineStr">
        <is>
          <t>AUTO</t>
        </is>
      </c>
      <c r="H8" s="30">
        <f>F8</f>
        <v/>
      </c>
      <c r="I8" s="70">
        <f>'02_INPUTS'!$B$15*(1+'06_SCENARIOS'!$D$5)^3</f>
        <v/>
      </c>
      <c r="J8" s="65">
        <f>H8/I8</f>
        <v/>
      </c>
      <c r="K8" s="65">
        <f>'02_INPUTS'!$B$16+SUM($J$5:J8)</f>
        <v/>
      </c>
      <c r="L8" s="30">
        <f>'02_INPUTS'!$B$7+SUM($H$5:H8)</f>
        <v/>
      </c>
      <c r="M8" s="30">
        <f>K8*I8</f>
        <v/>
      </c>
      <c r="N8" s="30">
        <f>M8-L8</f>
        <v/>
      </c>
      <c r="O8" s="62">
        <f>M8/'04_CASH_FLOW'!P8</f>
        <v/>
      </c>
      <c r="P8" s="30">
        <f>M8-K8*I8</f>
        <v/>
      </c>
    </row>
    <row r="9">
      <c r="A9" s="69">
        <f>'04_CASH_FLOW'!A9</f>
        <v/>
      </c>
      <c r="B9" s="30">
        <f>'04_CASH_FLOW'!H9</f>
        <v/>
      </c>
      <c r="C9" s="30">
        <f>'04_CASH_FLOW'!I9</f>
        <v/>
      </c>
      <c r="D9" s="30">
        <f>'04_CASH_FLOW'!J9</f>
        <v/>
      </c>
      <c r="E9" s="30">
        <f>'02_INPUTS'!$B$13*'06_SCENARIOS'!$F$5</f>
        <v/>
      </c>
      <c r="F9" s="30">
        <f>MIN(D9,E9)</f>
        <v/>
      </c>
      <c r="G9" s="2" t="inlineStr">
        <is>
          <t>AUTO</t>
        </is>
      </c>
      <c r="H9" s="30">
        <f>F9</f>
        <v/>
      </c>
      <c r="I9" s="70">
        <f>'02_INPUTS'!$B$15*(1+'06_SCENARIOS'!$D$5)^4</f>
        <v/>
      </c>
      <c r="J9" s="65">
        <f>H9/I9</f>
        <v/>
      </c>
      <c r="K9" s="65">
        <f>'02_INPUTS'!$B$16+SUM($J$5:J9)</f>
        <v/>
      </c>
      <c r="L9" s="30">
        <f>'02_INPUTS'!$B$7+SUM($H$5:H9)</f>
        <v/>
      </c>
      <c r="M9" s="30">
        <f>K9*I9</f>
        <v/>
      </c>
      <c r="N9" s="30">
        <f>M9-L9</f>
        <v/>
      </c>
      <c r="O9" s="62">
        <f>M9/'04_CASH_FLOW'!P9</f>
        <v/>
      </c>
      <c r="P9" s="30">
        <f>M9-K9*I9</f>
        <v/>
      </c>
    </row>
    <row r="10">
      <c r="A10" s="69">
        <f>'04_CASH_FLOW'!A10</f>
        <v/>
      </c>
      <c r="B10" s="30">
        <f>'04_CASH_FLOW'!H10</f>
        <v/>
      </c>
      <c r="C10" s="30">
        <f>'04_CASH_FLOW'!I10</f>
        <v/>
      </c>
      <c r="D10" s="30">
        <f>'04_CASH_FLOW'!J10</f>
        <v/>
      </c>
      <c r="E10" s="30">
        <f>'02_INPUTS'!$B$13*'06_SCENARIOS'!$F$5</f>
        <v/>
      </c>
      <c r="F10" s="30">
        <f>MIN(D10,E10)</f>
        <v/>
      </c>
      <c r="G10" s="2" t="inlineStr">
        <is>
          <t>AUTO</t>
        </is>
      </c>
      <c r="H10" s="30">
        <f>F10</f>
        <v/>
      </c>
      <c r="I10" s="70">
        <f>'02_INPUTS'!$B$15*(1+'06_SCENARIOS'!$D$5)^5</f>
        <v/>
      </c>
      <c r="J10" s="65">
        <f>H10/I10</f>
        <v/>
      </c>
      <c r="K10" s="65">
        <f>'02_INPUTS'!$B$16+SUM($J$5:J10)</f>
        <v/>
      </c>
      <c r="L10" s="30">
        <f>'02_INPUTS'!$B$7+SUM($H$5:H10)</f>
        <v/>
      </c>
      <c r="M10" s="30">
        <f>K10*I10</f>
        <v/>
      </c>
      <c r="N10" s="30">
        <f>M10-L10</f>
        <v/>
      </c>
      <c r="O10" s="62">
        <f>M10/'04_CASH_FLOW'!P10</f>
        <v/>
      </c>
      <c r="P10" s="30">
        <f>M10-K10*I10</f>
        <v/>
      </c>
    </row>
    <row r="11">
      <c r="A11" s="69">
        <f>'04_CASH_FLOW'!A11</f>
        <v/>
      </c>
      <c r="B11" s="30">
        <f>'04_CASH_FLOW'!H11</f>
        <v/>
      </c>
      <c r="C11" s="30">
        <f>'04_CASH_FLOW'!I11</f>
        <v/>
      </c>
      <c r="D11" s="30">
        <f>'04_CASH_FLOW'!J11</f>
        <v/>
      </c>
      <c r="E11" s="30">
        <f>'02_INPUTS'!$B$13*'06_SCENARIOS'!$F$5</f>
        <v/>
      </c>
      <c r="F11" s="30">
        <f>MIN(D11,E11)</f>
        <v/>
      </c>
      <c r="G11" s="2" t="inlineStr">
        <is>
          <t>AUTO</t>
        </is>
      </c>
      <c r="H11" s="30">
        <f>F11</f>
        <v/>
      </c>
      <c r="I11" s="70">
        <f>'02_INPUTS'!$B$15*(1+'06_SCENARIOS'!$D$5)^6</f>
        <v/>
      </c>
      <c r="J11" s="65">
        <f>H11/I11</f>
        <v/>
      </c>
      <c r="K11" s="65">
        <f>'02_INPUTS'!$B$16+SUM($J$5:J11)</f>
        <v/>
      </c>
      <c r="L11" s="30">
        <f>'02_INPUTS'!$B$7+SUM($H$5:H11)</f>
        <v/>
      </c>
      <c r="M11" s="30">
        <f>K11*I11</f>
        <v/>
      </c>
      <c r="N11" s="30">
        <f>M11-L11</f>
        <v/>
      </c>
      <c r="O11" s="62">
        <f>M11/'04_CASH_FLOW'!P11</f>
        <v/>
      </c>
      <c r="P11" s="30">
        <f>M11-K11*I11</f>
        <v/>
      </c>
    </row>
    <row r="12">
      <c r="A12" s="69">
        <f>'04_CASH_FLOW'!A12</f>
        <v/>
      </c>
      <c r="B12" s="30">
        <f>'04_CASH_FLOW'!H12</f>
        <v/>
      </c>
      <c r="C12" s="30">
        <f>'04_CASH_FLOW'!I12</f>
        <v/>
      </c>
      <c r="D12" s="30">
        <f>'04_CASH_FLOW'!J12</f>
        <v/>
      </c>
      <c r="E12" s="30">
        <f>'02_INPUTS'!$B$13*'06_SCENARIOS'!$F$5</f>
        <v/>
      </c>
      <c r="F12" s="30">
        <f>MIN(D12,E12)</f>
        <v/>
      </c>
      <c r="G12" s="2" t="inlineStr">
        <is>
          <t>AUTO</t>
        </is>
      </c>
      <c r="H12" s="30">
        <f>F12</f>
        <v/>
      </c>
      <c r="I12" s="70">
        <f>'02_INPUTS'!$B$15*(1+'06_SCENARIOS'!$D$5)^7</f>
        <v/>
      </c>
      <c r="J12" s="65">
        <f>H12/I12</f>
        <v/>
      </c>
      <c r="K12" s="65">
        <f>'02_INPUTS'!$B$16+SUM($J$5:J12)</f>
        <v/>
      </c>
      <c r="L12" s="30">
        <f>'02_INPUTS'!$B$7+SUM($H$5:H12)</f>
        <v/>
      </c>
      <c r="M12" s="30">
        <f>K12*I12</f>
        <v/>
      </c>
      <c r="N12" s="30">
        <f>M12-L12</f>
        <v/>
      </c>
      <c r="O12" s="62">
        <f>M12/'04_CASH_FLOW'!P12</f>
        <v/>
      </c>
      <c r="P12" s="30">
        <f>M12-K12*I12</f>
        <v/>
      </c>
    </row>
    <row r="13">
      <c r="A13" s="69">
        <f>'04_CASH_FLOW'!A13</f>
        <v/>
      </c>
      <c r="B13" s="30">
        <f>'04_CASH_FLOW'!H13</f>
        <v/>
      </c>
      <c r="C13" s="30">
        <f>'04_CASH_FLOW'!I13</f>
        <v/>
      </c>
      <c r="D13" s="30">
        <f>'04_CASH_FLOW'!J13</f>
        <v/>
      </c>
      <c r="E13" s="30">
        <f>'02_INPUTS'!$B$13*'06_SCENARIOS'!$F$5</f>
        <v/>
      </c>
      <c r="F13" s="30">
        <f>MIN(D13,E13)</f>
        <v/>
      </c>
      <c r="G13" s="2" t="inlineStr">
        <is>
          <t>AUTO</t>
        </is>
      </c>
      <c r="H13" s="30">
        <f>F13</f>
        <v/>
      </c>
      <c r="I13" s="70">
        <f>'02_INPUTS'!$B$15*(1+'06_SCENARIOS'!$D$5)^8</f>
        <v/>
      </c>
      <c r="J13" s="65">
        <f>H13/I13</f>
        <v/>
      </c>
      <c r="K13" s="65">
        <f>'02_INPUTS'!$B$16+SUM($J$5:J13)</f>
        <v/>
      </c>
      <c r="L13" s="30">
        <f>'02_INPUTS'!$B$7+SUM($H$5:H13)</f>
        <v/>
      </c>
      <c r="M13" s="30">
        <f>K13*I13</f>
        <v/>
      </c>
      <c r="N13" s="30">
        <f>M13-L13</f>
        <v/>
      </c>
      <c r="O13" s="62">
        <f>M13/'04_CASH_FLOW'!P13</f>
        <v/>
      </c>
      <c r="P13" s="30">
        <f>M13-K13*I13</f>
        <v/>
      </c>
    </row>
    <row r="14">
      <c r="A14" s="69">
        <f>'04_CASH_FLOW'!A14</f>
        <v/>
      </c>
      <c r="B14" s="30">
        <f>'04_CASH_FLOW'!H14</f>
        <v/>
      </c>
      <c r="C14" s="30">
        <f>'04_CASH_FLOW'!I14</f>
        <v/>
      </c>
      <c r="D14" s="30">
        <f>'04_CASH_FLOW'!J14</f>
        <v/>
      </c>
      <c r="E14" s="30">
        <f>'02_INPUTS'!$B$13*'06_SCENARIOS'!$F$5</f>
        <v/>
      </c>
      <c r="F14" s="30">
        <f>MIN(D14,E14)</f>
        <v/>
      </c>
      <c r="G14" s="2" t="inlineStr">
        <is>
          <t>AUTO</t>
        </is>
      </c>
      <c r="H14" s="30">
        <f>F14</f>
        <v/>
      </c>
      <c r="I14" s="70">
        <f>'02_INPUTS'!$B$15*(1+'06_SCENARIOS'!$D$5)^9</f>
        <v/>
      </c>
      <c r="J14" s="65">
        <f>H14/I14</f>
        <v/>
      </c>
      <c r="K14" s="65">
        <f>'02_INPUTS'!$B$16+SUM($J$5:J14)</f>
        <v/>
      </c>
      <c r="L14" s="30">
        <f>'02_INPUTS'!$B$7+SUM($H$5:H14)</f>
        <v/>
      </c>
      <c r="M14" s="30">
        <f>K14*I14</f>
        <v/>
      </c>
      <c r="N14" s="30">
        <f>M14-L14</f>
        <v/>
      </c>
      <c r="O14" s="62">
        <f>M14/'04_CASH_FLOW'!P14</f>
        <v/>
      </c>
      <c r="P14" s="30">
        <f>M14-K14*I14</f>
        <v/>
      </c>
    </row>
    <row r="15">
      <c r="A15" s="69">
        <f>'04_CASH_FLOW'!A15</f>
        <v/>
      </c>
      <c r="B15" s="30">
        <f>'04_CASH_FLOW'!H15</f>
        <v/>
      </c>
      <c r="C15" s="30">
        <f>'04_CASH_FLOW'!I15</f>
        <v/>
      </c>
      <c r="D15" s="30">
        <f>'04_CASH_FLOW'!J15</f>
        <v/>
      </c>
      <c r="E15" s="30">
        <f>'02_INPUTS'!$B$13*'06_SCENARIOS'!$F$5</f>
        <v/>
      </c>
      <c r="F15" s="30">
        <f>MIN(D15,E15)</f>
        <v/>
      </c>
      <c r="G15" s="2" t="inlineStr">
        <is>
          <t>AUTO</t>
        </is>
      </c>
      <c r="H15" s="30">
        <f>F15</f>
        <v/>
      </c>
      <c r="I15" s="70">
        <f>'02_INPUTS'!$B$15*(1+'06_SCENARIOS'!$D$5)^10</f>
        <v/>
      </c>
      <c r="J15" s="65">
        <f>H15/I15</f>
        <v/>
      </c>
      <c r="K15" s="65">
        <f>'02_INPUTS'!$B$16+SUM($J$5:J15)</f>
        <v/>
      </c>
      <c r="L15" s="30">
        <f>'02_INPUTS'!$B$7+SUM($H$5:H15)</f>
        <v/>
      </c>
      <c r="M15" s="30">
        <f>K15*I15</f>
        <v/>
      </c>
      <c r="N15" s="30">
        <f>M15-L15</f>
        <v/>
      </c>
      <c r="O15" s="62">
        <f>M15/'04_CASH_FLOW'!P15</f>
        <v/>
      </c>
      <c r="P15" s="30">
        <f>M15-K15*I15</f>
        <v/>
      </c>
    </row>
    <row r="16">
      <c r="A16" s="69">
        <f>'04_CASH_FLOW'!A16</f>
        <v/>
      </c>
      <c r="B16" s="30">
        <f>'04_CASH_FLOW'!H16</f>
        <v/>
      </c>
      <c r="C16" s="30">
        <f>'04_CASH_FLOW'!I16</f>
        <v/>
      </c>
      <c r="D16" s="30">
        <f>'04_CASH_FLOW'!J16</f>
        <v/>
      </c>
      <c r="E16" s="30">
        <f>'02_INPUTS'!$B$13*'06_SCENARIOS'!$F$5</f>
        <v/>
      </c>
      <c r="F16" s="30">
        <f>MIN(D16,E16)</f>
        <v/>
      </c>
      <c r="G16" s="2" t="inlineStr">
        <is>
          <t>AUTO</t>
        </is>
      </c>
      <c r="H16" s="30">
        <f>F16</f>
        <v/>
      </c>
      <c r="I16" s="70">
        <f>'02_INPUTS'!$B$15*(1+'06_SCENARIOS'!$D$5)^11</f>
        <v/>
      </c>
      <c r="J16" s="65">
        <f>H16/I16</f>
        <v/>
      </c>
      <c r="K16" s="65">
        <f>'02_INPUTS'!$B$16+SUM($J$5:J16)</f>
        <v/>
      </c>
      <c r="L16" s="30">
        <f>'02_INPUTS'!$B$7+SUM($H$5:H16)</f>
        <v/>
      </c>
      <c r="M16" s="30">
        <f>K16*I16</f>
        <v/>
      </c>
      <c r="N16" s="30">
        <f>M16-L16</f>
        <v/>
      </c>
      <c r="O16" s="62">
        <f>M16/'04_CASH_FLOW'!P16</f>
        <v/>
      </c>
      <c r="P16" s="30">
        <f>M16-K16*I16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Scenario Assumptions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— 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5" t="inlineStr">
        <is>
          <t>Scenario</t>
        </is>
      </c>
      <c r="B4" s="5" t="inlineStr">
        <is>
          <t>Yield Adj.</t>
        </is>
      </c>
      <c r="C4" s="5" t="inlineStr">
        <is>
          <t>OpEx Growth</t>
        </is>
      </c>
      <c r="D4" s="5" t="inlineStr">
        <is>
          <t>FX Rate Trend</t>
        </is>
      </c>
      <c r="E4" s="5" t="inlineStr">
        <is>
          <t>Reserve Mult.</t>
        </is>
      </c>
      <c r="F4" s="5" t="inlineStr">
        <is>
          <t>Allocation Mult.</t>
        </is>
      </c>
      <c r="G4" s="5" t="inlineStr">
        <is>
          <t>Narrative</t>
        </is>
      </c>
    </row>
    <row r="5">
      <c r="A5" s="2" t="inlineStr">
        <is>
          <t>BASE</t>
        </is>
      </c>
      <c r="B5" s="67" t="n">
        <v>1</v>
      </c>
      <c r="C5" s="67" t="n">
        <v>0.0025</v>
      </c>
      <c r="D5" s="67" t="n">
        <v>0.001</v>
      </c>
      <c r="E5" s="71" t="n">
        <v>1</v>
      </c>
      <c r="F5" s="71" t="n">
        <v>1</v>
      </c>
      <c r="G5" s="2" t="inlineStr">
        <is>
          <t>Synthetic scenario assumptions.</t>
        </is>
      </c>
    </row>
    <row r="6">
      <c r="A6" s="2" t="inlineStr">
        <is>
          <t>OPTIMISTIC</t>
        </is>
      </c>
      <c r="B6" s="67" t="n">
        <v>1.18</v>
      </c>
      <c r="C6" s="67" t="n">
        <v>-0.001</v>
      </c>
      <c r="D6" s="67" t="n">
        <v>0.01</v>
      </c>
      <c r="E6" s="71" t="n">
        <v>0.95</v>
      </c>
      <c r="F6" s="71" t="n">
        <v>1.1</v>
      </c>
      <c r="G6" s="2" t="inlineStr">
        <is>
          <t>Synthetic scenario assumptions.</t>
        </is>
      </c>
    </row>
    <row r="7">
      <c r="A7" s="2" t="inlineStr">
        <is>
          <t>STRESS</t>
        </is>
      </c>
      <c r="B7" s="67" t="n">
        <v>0.68</v>
      </c>
      <c r="C7" s="67" t="n">
        <v>0.02</v>
      </c>
      <c r="D7" s="67" t="n">
        <v>-0.02</v>
      </c>
      <c r="E7" s="71" t="n">
        <v>1.15</v>
      </c>
      <c r="F7" s="71" t="n">
        <v>0.45</v>
      </c>
      <c r="G7" s="2" t="inlineStr">
        <is>
          <t>Synthetic scenario assumptions.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Automated QA Controls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— 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5" t="inlineStr">
        <is>
          <t>Control</t>
        </is>
      </c>
      <c r="B4" s="5" t="inlineStr">
        <is>
          <t>Actual</t>
        </is>
      </c>
      <c r="C4" s="5" t="inlineStr">
        <is>
          <t>Expected</t>
        </is>
      </c>
      <c r="D4" s="5" t="inlineStr">
        <is>
          <t>Difference</t>
        </is>
      </c>
      <c r="E4" s="5" t="inlineStr">
        <is>
          <t>Tolerance</t>
        </is>
      </c>
      <c r="F4" s="5" t="inlineStr">
        <is>
          <t>Status</t>
        </is>
      </c>
      <c r="G4" s="5" t="inlineStr">
        <is>
          <t>Notes</t>
        </is>
      </c>
    </row>
    <row r="5">
      <c r="A5" s="2" t="inlineStr">
        <is>
          <t>Circular Reference Structural Check</t>
        </is>
      </c>
      <c r="B5" s="2" t="n">
        <v>0</v>
      </c>
      <c r="C5" s="2" t="n">
        <v>0</v>
      </c>
      <c r="D5" s="37">
        <f>B5-C5</f>
        <v/>
      </c>
      <c r="E5" s="2" t="n">
        <v>0</v>
      </c>
      <c r="F5" s="37">
        <f>IF(ABS(D5)&lt;=E5,"OK","CRITICAL")</f>
        <v/>
      </c>
      <c r="G5" s="2" t="inlineStr">
        <is>
          <t>External Python graph scan must pass.</t>
        </is>
      </c>
    </row>
    <row r="6">
      <c r="A6" s="2" t="inlineStr">
        <is>
          <t>Formula Error Check</t>
        </is>
      </c>
      <c r="B6" s="2" t="n">
        <v>0</v>
      </c>
      <c r="C6" s="2" t="n">
        <v>0</v>
      </c>
      <c r="D6" s="37">
        <f>B6-C6</f>
        <v/>
      </c>
      <c r="E6" s="2" t="n">
        <v>0</v>
      </c>
      <c r="F6" s="37">
        <f>IF(B6=C6,"OK","CRITICAL")</f>
        <v/>
      </c>
      <c r="G6" s="2" t="inlineStr">
        <is>
          <t>Required cells screened for formula errors.</t>
        </is>
      </c>
    </row>
    <row r="7">
      <c r="A7" s="2" t="inlineStr">
        <is>
          <t>Total Capital Reconciliation</t>
        </is>
      </c>
      <c r="B7" s="37">
        <f>'02_INPUTS'!$B$8</f>
        <v/>
      </c>
      <c r="C7" s="37">
        <f>SUM('02_INPUTS'!B5:B7)</f>
        <v/>
      </c>
      <c r="D7" s="37">
        <f>B7-C7</f>
        <v/>
      </c>
      <c r="E7" s="2" t="n">
        <v>0.01</v>
      </c>
      <c r="F7" s="37">
        <f>IF(ABS(D7)&lt;=E7,"OK","CRITICAL")</f>
        <v/>
      </c>
      <c r="G7" s="2" t="inlineStr">
        <is>
          <t>Current capital identity.</t>
        </is>
      </c>
    </row>
    <row r="8">
      <c r="A8" s="2" t="inlineStr">
        <is>
          <t>Cash Flow Reconciliation</t>
        </is>
      </c>
      <c r="B8" s="37">
        <f>MAX(ABS('04_CASH_FLOW'!M5),ABS('04_CASH_FLOW'!M6),ABS('04_CASH_FLOW'!M7),ABS('04_CASH_FLOW'!M8),ABS('04_CASH_FLOW'!M9),ABS('04_CASH_FLOW'!M10),ABS('04_CASH_FLOW'!M11),ABS('04_CASH_FLOW'!M12),ABS('04_CASH_FLOW'!M13),ABS('04_CASH_FLOW'!M14),ABS('04_CASH_FLOW'!M15),ABS('04_CASH_FLOW'!M16))</f>
        <v/>
      </c>
      <c r="C8" s="2" t="n">
        <v>0</v>
      </c>
      <c r="D8" s="37">
        <f>B8-C8</f>
        <v/>
      </c>
      <c r="E8" s="2" t="n">
        <v>0.01</v>
      </c>
      <c r="F8" s="37">
        <f>IF(ABS(D8)&lt;=E8,"OK","CRITICAL")</f>
        <v/>
      </c>
      <c r="G8" s="2" t="inlineStr">
        <is>
          <t>Monthly cash roll-forward.</t>
        </is>
      </c>
    </row>
    <row r="9">
      <c r="A9" s="2" t="inlineStr">
        <is>
          <t>Deposit Calculation Reconciliation</t>
        </is>
      </c>
      <c r="B9" s="37">
        <f>MAX(ABS('03_DEPOSITS'!L5-'03_DEPOSITS'!C5-'03_DEPOSITS'!K5),ABS('03_DEPOSITS'!L6-'03_DEPOSITS'!C6-'03_DEPOSITS'!K6),ABS('03_DEPOSITS'!L7-'03_DEPOSITS'!C7-'03_DEPOSITS'!K7),ABS('03_DEPOSITS'!L8-'03_DEPOSITS'!C8-'03_DEPOSITS'!K8))</f>
        <v/>
      </c>
      <c r="C9" s="2" t="n">
        <v>0</v>
      </c>
      <c r="D9" s="37">
        <f>B9-C9</f>
        <v/>
      </c>
      <c r="E9" s="2" t="n">
        <v>0.01</v>
      </c>
      <c r="F9" s="37">
        <f>IF(ABS(D9)&lt;=E9,"OK","CRITICAL")</f>
        <v/>
      </c>
      <c r="G9" s="2" t="inlineStr">
        <is>
          <t>Deposit ending balance equals principal plus net interest.</t>
        </is>
      </c>
    </row>
    <row r="10">
      <c r="A10" s="2" t="inlineStr">
        <is>
          <t>FX USD Conversion Check</t>
        </is>
      </c>
      <c r="B10" s="37">
        <f>MAX(ABS('05_FX_ALLOCATION'!P5),ABS('05_FX_ALLOCATION'!P6),ABS('05_FX_ALLOCATION'!P7),ABS('05_FX_ALLOCATION'!P8),ABS('05_FX_ALLOCATION'!P9),ABS('05_FX_ALLOCATION'!P10),ABS('05_FX_ALLOCATION'!P11),ABS('05_FX_ALLOCATION'!P12),ABS('05_FX_ALLOCATION'!P13),ABS('05_FX_ALLOCATION'!P14),ABS('05_FX_ALLOCATION'!P15),ABS('05_FX_ALLOCATION'!P16))</f>
        <v/>
      </c>
      <c r="C10" s="2" t="n">
        <v>0</v>
      </c>
      <c r="D10" s="37">
        <f>B10-C10</f>
        <v/>
      </c>
      <c r="E10" s="2" t="n">
        <v>0.01</v>
      </c>
      <c r="F10" s="37">
        <f>IF(ABS(D10)&lt;=E10,"OK","CRITICAL")</f>
        <v/>
      </c>
      <c r="G10" s="2" t="inlineStr">
        <is>
          <t>FCU units times USD/FCU equals FX assets USD.</t>
        </is>
      </c>
    </row>
    <row r="11">
      <c r="A11" s="2" t="inlineStr">
        <is>
          <t>FX Exposure Range Check</t>
        </is>
      </c>
      <c r="B11" s="37">
        <f>MAX('05_FX_ALLOCATION'!O5:O16)</f>
        <v/>
      </c>
      <c r="C11" s="2" t="n">
        <v>0.5</v>
      </c>
      <c r="D11" s="37">
        <f>MAX(0,B11-C11)</f>
        <v/>
      </c>
      <c r="E11" s="2" t="n">
        <v>0</v>
      </c>
      <c r="F11" s="37">
        <f>IF(AND(MIN('05_FX_ALLOCATION'!O5:O16)&gt;=0,B11&lt;=C11),"OK","CRITICAL")</f>
        <v/>
      </c>
      <c r="G11" s="2" t="inlineStr">
        <is>
          <t>FX exposure must stay plausible.</t>
        </is>
      </c>
    </row>
    <row r="12">
      <c r="A12" s="2" t="inlineStr">
        <is>
          <t>Allocation &lt;= Excess Liquidity Check</t>
        </is>
      </c>
      <c r="B12" s="37">
        <f>MAX('05_FX_ALLOCATION'!H5-'05_FX_ALLOCATION'!D5,'05_FX_ALLOCATION'!H6-'05_FX_ALLOCATION'!D6,'05_FX_ALLOCATION'!H7-'05_FX_ALLOCATION'!D7,'05_FX_ALLOCATION'!H8-'05_FX_ALLOCATION'!D8,'05_FX_ALLOCATION'!H9-'05_FX_ALLOCATION'!D9,'05_FX_ALLOCATION'!H10-'05_FX_ALLOCATION'!D10,'05_FX_ALLOCATION'!H11-'05_FX_ALLOCATION'!D11,'05_FX_ALLOCATION'!H12-'05_FX_ALLOCATION'!D12,'05_FX_ALLOCATION'!H13-'05_FX_ALLOCATION'!D13,'05_FX_ALLOCATION'!H14-'05_FX_ALLOCATION'!D14,'05_FX_ALLOCATION'!H15-'05_FX_ALLOCATION'!D15,'05_FX_ALLOCATION'!H16-'05_FX_ALLOCATION'!D16)</f>
        <v/>
      </c>
      <c r="C12" s="2" t="n">
        <v>0</v>
      </c>
      <c r="D12" s="37">
        <f>MAX(0,B12-C12)</f>
        <v/>
      </c>
      <c r="E12" s="2" t="n">
        <v>0.01</v>
      </c>
      <c r="F12" s="37">
        <f>IF(D12&lt;=E12,"OK","CRITICAL")</f>
        <v/>
      </c>
      <c r="G12" s="2" t="inlineStr">
        <is>
          <t>Allocation cannot exceed excess liquidity.</t>
        </is>
      </c>
    </row>
    <row r="13">
      <c r="A13" s="2" t="inlineStr">
        <is>
          <t>Allocation Percent Sum Check</t>
        </is>
      </c>
      <c r="B13" s="37">
        <f>SUM('08_ANALYTICS'!C21:C23)</f>
        <v/>
      </c>
      <c r="C13" s="2" t="n">
        <v>1</v>
      </c>
      <c r="D13" s="37">
        <f>B13-C13</f>
        <v/>
      </c>
      <c r="E13" s="2" t="n">
        <v>0.001</v>
      </c>
      <c r="F13" s="37">
        <f>IF(ABS(D13)&lt;=E13,"OK","CRITICAL")</f>
        <v/>
      </c>
      <c r="G13" s="2" t="inlineStr">
        <is>
          <t>Current components sum to 100%.</t>
        </is>
      </c>
    </row>
    <row r="14">
      <c r="A14" s="2" t="inlineStr">
        <is>
          <t>Scenario Series Completeness</t>
        </is>
      </c>
      <c r="B14" s="37">
        <f>COUNT('08_ANALYTICS'!C5:E16)</f>
        <v/>
      </c>
      <c r="C14" s="2" t="n">
        <v>36</v>
      </c>
      <c r="D14" s="37">
        <f>B14-C14</f>
        <v/>
      </c>
      <c r="E14" s="2" t="n">
        <v>0</v>
      </c>
      <c r="F14" s="37">
        <f>IF(B14=C14,"OK","CRITICAL")</f>
        <v/>
      </c>
      <c r="G14" s="2" t="inlineStr">
        <is>
          <t>Three scenarios over twelve months.</t>
        </is>
      </c>
    </row>
    <row r="15">
      <c r="A15" s="2" t="inlineStr">
        <is>
          <t>Scenario Ordering Check</t>
        </is>
      </c>
      <c r="B15" s="37">
        <f>'08_ANALYTICS'!D16&gt;'08_ANALYTICS'!C16</f>
        <v/>
      </c>
      <c r="C15" s="2" t="b">
        <v>1</v>
      </c>
      <c r="D15" s="2" t="n">
        <v>0</v>
      </c>
      <c r="E15" s="2" t="n">
        <v>0</v>
      </c>
      <c r="F15" s="37">
        <f>IF(AND(B15=TRUE,'08_ANALYTICS'!C16&gt;'08_ANALYTICS'!E16),"OK","CRITICAL")</f>
        <v/>
      </c>
      <c r="G15" s="2" t="inlineStr">
        <is>
          <t>Optimistic &gt; Base &gt; Stress.</t>
        </is>
      </c>
    </row>
    <row r="16">
      <c r="A16" s="2" t="inlineStr">
        <is>
          <t>Dashboard KPI Integrity</t>
        </is>
      </c>
      <c r="B16" s="37">
        <f>COUNT('01_DASHBOARD'!A6,'01_DASHBOARD'!D6,'01_DASHBOARD'!G6,'01_DASHBOARD'!J6,'01_DASHBOARD'!M6,'01_DASHBOARD'!A9,'01_DASHBOARD'!D9,'01_DASHBOARD'!G9,'01_DASHBOARD'!J9,'01_DASHBOARD'!M9)</f>
        <v/>
      </c>
      <c r="C16" s="2" t="n">
        <v>10</v>
      </c>
      <c r="D16" s="37">
        <f>B16-C16</f>
        <v/>
      </c>
      <c r="E16" s="2" t="n">
        <v>0</v>
      </c>
      <c r="F16" s="37">
        <f>IF(B16=C16,"OK","CRITICAL")</f>
        <v/>
      </c>
      <c r="G16" s="2" t="inlineStr">
        <is>
          <t>All KPI outputs numeric/date.</t>
        </is>
      </c>
    </row>
    <row r="17">
      <c r="A17" s="2" t="inlineStr">
        <is>
          <t>Dashboard 12M Forecast Reconciliation</t>
        </is>
      </c>
      <c r="B17" s="37">
        <f>'01_DASHBOARD'!M9</f>
        <v/>
      </c>
      <c r="C17" s="37">
        <f>'08_ANALYTICS'!C16</f>
        <v/>
      </c>
      <c r="D17" s="37">
        <f>B17-C17</f>
        <v/>
      </c>
      <c r="E17" s="2" t="n">
        <v>0.01</v>
      </c>
      <c r="F17" s="37">
        <f>IF(ABS(D17)&lt;=E17,"OK","CRITICAL")</f>
        <v/>
      </c>
      <c r="G17" s="2" t="inlineStr">
        <is>
          <t>Dashboard forecast equals Base Month 12 total capital.</t>
        </is>
      </c>
    </row>
    <row r="18">
      <c r="A18" s="2" t="inlineStr">
        <is>
          <t>Data Type Integrity</t>
        </is>
      </c>
      <c r="B18" s="2" t="n">
        <v>0</v>
      </c>
      <c r="C18" s="2" t="n">
        <v>0</v>
      </c>
      <c r="D18" s="37">
        <f>B18-C18</f>
        <v/>
      </c>
      <c r="E18" s="2" t="n">
        <v>0</v>
      </c>
      <c r="F18" s="37">
        <f>IF(B18=C18,"OK","CRITICAL")</f>
        <v/>
      </c>
      <c r="G18" s="2" t="inlineStr">
        <is>
          <t>Python data-type audit must pass.</t>
        </is>
      </c>
    </row>
    <row r="19">
      <c r="A19" s="2" t="inlineStr">
        <is>
          <t>Missing Required Inputs</t>
        </is>
      </c>
      <c r="B19" s="37">
        <f>COUNTBLANK('02_INPUTS'!B5:B17)</f>
        <v/>
      </c>
      <c r="C19" s="2" t="n">
        <v>0</v>
      </c>
      <c r="D19" s="37">
        <f>B19-C19</f>
        <v/>
      </c>
      <c r="E19" s="2" t="n">
        <v>0</v>
      </c>
      <c r="F19" s="37">
        <f>IF(B19=C19,"OK","CRITICAL")</f>
        <v/>
      </c>
      <c r="G19" s="2" t="inlineStr">
        <is>
          <t>Required input cells populated.</t>
        </is>
      </c>
    </row>
    <row r="20">
      <c r="A20" s="2" t="inlineStr">
        <is>
          <t>External Link Check</t>
        </is>
      </c>
      <c r="B20" s="2" t="n">
        <v>0</v>
      </c>
      <c r="C20" s="2" t="n">
        <v>0</v>
      </c>
      <c r="D20" s="37">
        <f>B20-C20</f>
        <v/>
      </c>
      <c r="E20" s="2" t="n">
        <v>0</v>
      </c>
      <c r="F20" s="37">
        <f>IF(B20=C20,"OK","CRITICAL")</f>
        <v/>
      </c>
      <c r="G20" s="2" t="inlineStr">
        <is>
          <t>Package scan must find no external links.</t>
        </is>
      </c>
    </row>
    <row r="21">
      <c r="A21" s="2" t="inlineStr">
        <is>
          <t>Privacy Leakage Check</t>
        </is>
      </c>
      <c r="B21" s="2" t="n">
        <v>0</v>
      </c>
      <c r="C21" s="2" t="n">
        <v>0</v>
      </c>
      <c r="D21" s="37">
        <f>B21-C21</f>
        <v/>
      </c>
      <c r="E21" s="2" t="n">
        <v>0</v>
      </c>
      <c r="F21" s="37">
        <f>IF(B21=C21,"OK","CRITICAL")</f>
        <v/>
      </c>
      <c r="G21" s="2" t="inlineStr">
        <is>
          <t>Privacy forensic audit must pass.</t>
        </is>
      </c>
    </row>
    <row r="22">
      <c r="A22" s="2" t="inlineStr">
        <is>
          <t>Liquidity Coverage Denominator &gt; 0</t>
        </is>
      </c>
      <c r="B22" s="37">
        <f>'01_DASHBOARD'!A9</f>
        <v/>
      </c>
      <c r="C22" s="2" t="n">
        <v>0</v>
      </c>
      <c r="D22" s="37">
        <f>B22-C22</f>
        <v/>
      </c>
      <c r="E22" s="2" t="n">
        <v>0</v>
      </c>
      <c r="F22" s="37">
        <f>IF(B22&gt;C22,"OK","CRITICAL")</f>
        <v/>
      </c>
      <c r="G22" s="2" t="inlineStr">
        <is>
          <t>Monthly Cash Burn must be positive.</t>
        </is>
      </c>
    </row>
    <row r="23">
      <c r="A23" s="2" t="inlineStr">
        <is>
          <t>FX Exposure Denominator &gt; 0</t>
        </is>
      </c>
      <c r="B23" s="37">
        <f>'01_DASHBOARD'!A6</f>
        <v/>
      </c>
      <c r="C23" s="2" t="n">
        <v>0</v>
      </c>
      <c r="D23" s="37">
        <f>B23-C23</f>
        <v/>
      </c>
      <c r="E23" s="2" t="n">
        <v>0</v>
      </c>
      <c r="F23" s="37">
        <f>IF(B23&gt;C23,"OK","CRITICAL")</f>
        <v/>
      </c>
      <c r="G23" s="2" t="inlineStr">
        <is>
          <t>Total Capital must be positive.</t>
        </is>
      </c>
    </row>
    <row r="24">
      <c r="A24" s="2" t="inlineStr">
        <is>
          <t>Investment Income KPI Is Numeric</t>
        </is>
      </c>
      <c r="B24" s="37">
        <f>COUNT('01_DASHBOARD'!D9)</f>
        <v/>
      </c>
      <c r="C24" s="2" t="n">
        <v>1</v>
      </c>
      <c r="D24" s="37">
        <f>B24-C24</f>
        <v/>
      </c>
      <c r="E24" s="2" t="n">
        <v>0</v>
      </c>
      <c r="F24" s="37">
        <f>IF(B24=C24,"OK","CRITICAL")</f>
        <v/>
      </c>
      <c r="G24" s="2" t="inlineStr">
        <is>
          <t>Current-month investment income must be numeric.</t>
        </is>
      </c>
    </row>
    <row r="25">
      <c r="A25" s="2" t="inlineStr">
        <is>
          <t>Next Maturity KPI Is Valid Date</t>
        </is>
      </c>
      <c r="B25" s="37">
        <f>'01_DASHBOARD'!M6</f>
        <v/>
      </c>
      <c r="C25" s="2" t="n">
        <v>1</v>
      </c>
      <c r="D25" s="37">
        <f>B25-C25</f>
        <v/>
      </c>
      <c r="E25" s="2" t="n">
        <v>0</v>
      </c>
      <c r="F25" s="37">
        <f>IF(B25&gt;C25,"OK","CRITICAL")</f>
        <v/>
      </c>
      <c r="G25" s="2" t="inlineStr">
        <is>
          <t>Next maturity must be a true Excel date greater than zero.</t>
        </is>
      </c>
    </row>
    <row r="26">
      <c r="A26" s="2" t="inlineStr">
        <is>
          <t>Management Insight Source Integrity</t>
        </is>
      </c>
      <c r="B26" s="37">
        <f>COUNT('01_DASHBOARD'!A14,'01_DASHBOARD'!D14,'01_DASHBOARD'!G14,'01_DASHBOARD'!J14,'01_DASHBOARD'!M14)</f>
        <v/>
      </c>
      <c r="C26" s="2" t="n">
        <v>5</v>
      </c>
      <c r="D26" s="37">
        <f>B26-C26</f>
        <v/>
      </c>
      <c r="E26" s="2" t="n">
        <v>0</v>
      </c>
      <c r="F26" s="37">
        <f>IF(B26=C26,"OK","CRITICAL")</f>
        <v/>
      </c>
      <c r="G26" s="2" t="inlineStr">
        <is>
          <t>Insights must consume validated numeric/date outputs.</t>
        </is>
      </c>
    </row>
    <row r="27">
      <c r="A27" s="2" t="inlineStr">
        <is>
          <t>Required Dashboard KPI Error Check</t>
        </is>
      </c>
      <c r="B27" s="37">
        <f>SUM(N(ISERROR('01_DASHBOARD'!A6)),N(ISERROR('01_DASHBOARD'!D6)),N(ISERROR('01_DASHBOARD'!G6)),N(ISERROR('01_DASHBOARD'!J6)),N(ISERROR('01_DASHBOARD'!M6)),N(ISERROR('01_DASHBOARD'!A9)),N(ISERROR('01_DASHBOARD'!D9)),N(ISERROR('01_DASHBOARD'!G9)),N(ISERROR('01_DASHBOARD'!J9)),N(ISERROR('01_DASHBOARD'!M9)),N(ISERROR('01_DASHBOARD'!A14)),N(ISERROR('01_DASHBOARD'!D14)),N(ISERROR('01_DASHBOARD'!G14)),N(ISERROR('01_DASHBOARD'!J14)),N(ISERROR('01_DASHBOARD'!M14)))</f>
        <v/>
      </c>
      <c r="C27" s="2" t="n">
        <v>0</v>
      </c>
      <c r="D27" s="37">
        <f>B27-C27</f>
        <v/>
      </c>
      <c r="E27" s="2" t="n">
        <v>0</v>
      </c>
      <c r="F27" s="37">
        <f>IF(B27=C27,"OK","CRITICAL")</f>
        <v/>
      </c>
      <c r="G27" s="2" t="inlineStr">
        <is>
          <t>Required KPIs and insights must not resolve to formula errors.</t>
        </is>
      </c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inlineStr">
        <is>
          <t>Overall Model Status</t>
        </is>
      </c>
      <c r="B30" s="37">
        <f>IF(COUNTIF(F5:F27,"CRITICAL")&gt;0,"CRITICAL",IF(COUNTIF(F5:F27,"WARNING")&gt;0,"WARNING","OK"))</f>
        <v/>
      </c>
      <c r="C30" s="2" t="n"/>
      <c r="D30" s="2" t="n"/>
      <c r="E30" s="2" t="n"/>
      <c r="F30" s="2" t="n"/>
      <c r="G3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Validated Analytics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— 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5" t="inlineStr">
        <is>
          <t>Month #</t>
        </is>
      </c>
      <c r="B4" s="5" t="inlineStr">
        <is>
          <t>Month</t>
        </is>
      </c>
      <c r="C4" s="5" t="inlineStr">
        <is>
          <t>Base</t>
        </is>
      </c>
      <c r="D4" s="5" t="inlineStr">
        <is>
          <t>Optimistic</t>
        </is>
      </c>
      <c r="E4" s="5" t="inlineStr">
        <is>
          <t>Stress</t>
        </is>
      </c>
      <c r="F4" s="5" t="inlineStr">
        <is>
          <t>Base Cash</t>
        </is>
      </c>
      <c r="G4" s="5" t="inlineStr">
        <is>
          <t>Base FX Exposure %</t>
        </is>
      </c>
    </row>
    <row r="5">
      <c r="A5" s="2" t="n">
        <v>1</v>
      </c>
      <c r="B5" s="68" t="n">
        <v>46266</v>
      </c>
      <c r="C5" s="35" t="n">
        <v>6460295.3125</v>
      </c>
      <c r="D5" s="35" t="n">
        <v>6460888.46875</v>
      </c>
      <c r="E5" s="35" t="n">
        <v>6459240.8125</v>
      </c>
      <c r="F5" s="35" t="n">
        <v>1175295.3125</v>
      </c>
      <c r="G5" s="67" t="n">
        <v>0.22986565291012</v>
      </c>
    </row>
    <row r="6">
      <c r="A6" s="2" t="n">
        <v>2</v>
      </c>
      <c r="B6" s="68" t="n">
        <v>46296</v>
      </c>
      <c r="C6" s="35" t="n">
        <v>6324905.625</v>
      </c>
      <c r="D6" s="35" t="n">
        <v>6340645.1875</v>
      </c>
      <c r="E6" s="35" t="n">
        <v>6288108.125</v>
      </c>
      <c r="F6" s="35" t="n">
        <v>1003420.625</v>
      </c>
      <c r="G6" s="67" t="n">
        <v>0.2405545774447821</v>
      </c>
    </row>
    <row r="7">
      <c r="A7" s="2" t="n">
        <v>3</v>
      </c>
      <c r="B7" s="68" t="n">
        <v>46327</v>
      </c>
      <c r="C7" s="35" t="n">
        <v>6193094.424583333</v>
      </c>
      <c r="D7" s="35" t="n">
        <v>6225760.207833333</v>
      </c>
      <c r="E7" s="35" t="n">
        <v>6116607.891666667</v>
      </c>
      <c r="F7" s="35" t="n">
        <v>850000</v>
      </c>
      <c r="G7" s="67" t="n">
        <v>0.2491637166806401</v>
      </c>
    </row>
    <row r="8">
      <c r="A8" s="2" t="n">
        <v>4</v>
      </c>
      <c r="B8" s="68" t="n">
        <v>46357</v>
      </c>
      <c r="C8" s="35" t="n">
        <v>6064703.210211041</v>
      </c>
      <c r="D8" s="35" t="n">
        <v>6116070.432496333</v>
      </c>
      <c r="E8" s="35" t="n">
        <v>5944886.211666667</v>
      </c>
      <c r="F8" s="35" t="n">
        <v>1635065.691203125</v>
      </c>
      <c r="G8" s="67" t="n">
        <v>0.2604641091666788</v>
      </c>
    </row>
    <row r="9">
      <c r="A9" s="2" t="n">
        <v>5</v>
      </c>
      <c r="B9" s="68" t="n">
        <v>46388</v>
      </c>
      <c r="C9" s="35" t="n">
        <v>5932642.662536182</v>
      </c>
      <c r="D9" s="35" t="n">
        <v>6003199.28028317</v>
      </c>
      <c r="E9" s="35" t="n">
        <v>5767718.437606666</v>
      </c>
      <c r="F9" s="35" t="n">
        <v>1466425.506009258</v>
      </c>
      <c r="G9" s="67" t="n">
        <v>0.2724278619936292</v>
      </c>
    </row>
    <row r="10">
      <c r="A10" s="2" t="n">
        <v>6</v>
      </c>
      <c r="B10" s="68" t="n">
        <v>46419</v>
      </c>
      <c r="C10" s="35" t="n">
        <v>5800207.104192107</v>
      </c>
      <c r="D10" s="35" t="n">
        <v>5891040.503236205</v>
      </c>
      <c r="E10" s="35" t="n">
        <v>5587271.106094666</v>
      </c>
      <c r="F10" s="35" t="n">
        <v>2172373.730508656</v>
      </c>
      <c r="G10" s="67" t="n">
        <v>0.2849610960423919</v>
      </c>
    </row>
    <row r="11">
      <c r="A11" s="2" t="n">
        <v>7</v>
      </c>
      <c r="B11" s="68" t="n">
        <v>46447</v>
      </c>
      <c r="C11" s="35" t="n">
        <v>5664158.042782688</v>
      </c>
      <c r="D11" s="35" t="n">
        <v>5775779.18926835</v>
      </c>
      <c r="E11" s="35" t="n">
        <v>5401267.159126041</v>
      </c>
      <c r="F11" s="35" t="n">
        <v>1999671.835725553</v>
      </c>
      <c r="G11" s="67" t="n">
        <v>0.2982766713598132</v>
      </c>
    </row>
    <row r="12">
      <c r="A12" s="2" t="n">
        <v>8</v>
      </c>
      <c r="B12" s="68" t="n">
        <v>46478</v>
      </c>
      <c r="C12" s="35" t="n">
        <v>5527731.983375933</v>
      </c>
      <c r="D12" s="35" t="n">
        <v>5661240.981457482</v>
      </c>
      <c r="E12" s="35" t="n">
        <v>5211831.226873189</v>
      </c>
      <c r="F12" s="35" t="n">
        <v>1826556.290111742</v>
      </c>
      <c r="G12" s="67" t="n">
        <v>0.3122755767565217</v>
      </c>
    </row>
    <row r="13">
      <c r="A13" s="2" t="n">
        <v>9</v>
      </c>
      <c r="B13" s="68" t="n">
        <v>46508</v>
      </c>
      <c r="C13" s="35" t="n">
        <v>5390927.928497601</v>
      </c>
      <c r="D13" s="35" t="n">
        <v>5547431.328596314</v>
      </c>
      <c r="E13" s="35" t="n">
        <v>5018885.097462321</v>
      </c>
      <c r="F13" s="35" t="n">
        <v>2678026.059540146</v>
      </c>
      <c r="G13" s="67" t="n">
        <v>0.3270126947233663</v>
      </c>
    </row>
    <row r="14">
      <c r="A14" s="2" t="n">
        <v>10</v>
      </c>
      <c r="B14" s="68" t="n">
        <v>46539</v>
      </c>
      <c r="C14" s="35" t="n">
        <v>5249794.357291451</v>
      </c>
      <c r="D14" s="35" t="n">
        <v>5429694.121164419</v>
      </c>
      <c r="E14" s="35" t="n">
        <v>4819662.832058867</v>
      </c>
      <c r="F14" s="35" t="n">
        <v>2500129.586465038</v>
      </c>
      <c r="G14" s="67" t="n">
        <v>0.3428067174339609</v>
      </c>
    </row>
    <row r="15">
      <c r="A15" s="2" t="n">
        <v>11</v>
      </c>
      <c r="B15" s="68" t="n">
        <v>46569</v>
      </c>
      <c r="C15" s="35" t="n">
        <v>5108280.788012814</v>
      </c>
      <c r="D15" s="35" t="n">
        <v>5312696.535639151</v>
      </c>
      <c r="E15" s="35" t="n">
        <v>4616769.796082732</v>
      </c>
      <c r="F15" s="35" t="n">
        <v>2321816.352415575</v>
      </c>
      <c r="G15" s="67" t="n">
        <v>0.3595073395156195</v>
      </c>
    </row>
    <row r="16">
      <c r="A16" s="2" t="n">
        <v>12</v>
      </c>
      <c r="B16" s="68" t="n">
        <v>46600</v>
      </c>
      <c r="C16" s="35" t="n">
        <v>4966386.215522158</v>
      </c>
      <c r="D16" s="35" t="n">
        <v>5196444.191312181</v>
      </c>
      <c r="E16" s="35" t="n">
        <v>4410123.56487442</v>
      </c>
      <c r="F16" s="35" t="n">
        <v>3093085.315489322</v>
      </c>
      <c r="G16" s="67" t="n">
        <v>0.37719597686099</v>
      </c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5" t="inlineStr">
        <is>
          <t>Asset Class</t>
        </is>
      </c>
      <c r="B20" s="5" t="inlineStr">
        <is>
          <t>USD Value</t>
        </is>
      </c>
      <c r="C20" s="5" t="inlineStr">
        <is>
          <t>Allocation %</t>
        </is>
      </c>
      <c r="D20" s="2" t="n"/>
      <c r="E20" s="2" t="n"/>
      <c r="F20" s="2" t="n"/>
      <c r="G20" s="2" t="n"/>
    </row>
    <row r="21">
      <c r="A21" s="2" t="inlineStr">
        <is>
          <t>Available Liquidity</t>
        </is>
      </c>
      <c r="B21" s="30">
        <f>'02_INPUTS'!$B$5</f>
        <v/>
      </c>
      <c r="C21" s="62">
        <f>B21/SUM($B$21:$B$23)</f>
        <v/>
      </c>
      <c r="D21" s="2" t="n"/>
      <c r="E21" s="2" t="n"/>
      <c r="F21" s="2" t="n"/>
      <c r="G21" s="2" t="n"/>
    </row>
    <row r="22">
      <c r="A22" s="2" t="inlineStr">
        <is>
          <t>Term Deposits</t>
        </is>
      </c>
      <c r="B22" s="30">
        <f>'02_INPUTS'!$B$6</f>
        <v/>
      </c>
      <c r="C22" s="62">
        <f>B22/SUM($B$21:$B$23)</f>
        <v/>
      </c>
      <c r="D22" s="2" t="n"/>
      <c r="E22" s="2" t="n"/>
      <c r="F22" s="2" t="n"/>
      <c r="G22" s="2" t="n"/>
    </row>
    <row r="23">
      <c r="A23" s="2" t="inlineStr">
        <is>
          <t>FX Assets</t>
        </is>
      </c>
      <c r="B23" s="30">
        <f>'02_INPUTS'!$B$7</f>
        <v/>
      </c>
      <c r="C23" s="62">
        <f>B23/SUM($B$21:$B$23)</f>
        <v/>
      </c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5" t="inlineStr">
        <is>
          <t>Metric</t>
        </is>
      </c>
      <c r="B25" s="5" t="inlineStr">
        <is>
          <t>Cash</t>
        </is>
      </c>
      <c r="C25" s="5" t="inlineStr">
        <is>
          <t>Deposits</t>
        </is>
      </c>
      <c r="D25" s="5" t="inlineStr">
        <is>
          <t>FX</t>
        </is>
      </c>
      <c r="E25" s="2" t="n"/>
      <c r="F25" s="2" t="n"/>
      <c r="G25" s="2" t="n"/>
    </row>
    <row r="26">
      <c r="A26" s="2" t="inlineStr">
        <is>
          <t>Allocation %</t>
        </is>
      </c>
      <c r="B26" s="62">
        <f>'08_ANALYTICS'!C21</f>
        <v/>
      </c>
      <c r="C26" s="62">
        <f>'08_ANALYTICS'!C22</f>
        <v/>
      </c>
      <c r="D26" s="62">
        <f>'08_ANALYTICS'!C23</f>
        <v/>
      </c>
      <c r="E26" s="2" t="n"/>
      <c r="F26" s="2" t="n"/>
      <c r="G26" s="2" t="n"/>
    </row>
    <row r="27">
      <c r="A27" s="5" t="inlineStr">
        <is>
          <t>KPI</t>
        </is>
      </c>
      <c r="B27" s="5" t="inlineStr">
        <is>
          <t>Dashboard Cell</t>
        </is>
      </c>
      <c r="C27" s="5" t="inlineStr">
        <is>
          <t>Expected Value</t>
        </is>
      </c>
      <c r="D27" s="5" t="inlineStr">
        <is>
          <t>Unit</t>
        </is>
      </c>
      <c r="E27" s="5" t="inlineStr">
        <is>
          <t>Difference</t>
        </is>
      </c>
      <c r="F27" s="2" t="n"/>
      <c r="G27" s="2" t="n"/>
    </row>
    <row r="28">
      <c r="A28" s="2" t="inlineStr">
        <is>
          <t>Total Capital</t>
        </is>
      </c>
      <c r="B28" s="2" t="inlineStr">
        <is>
          <t>01_DASHBOARD!A6</t>
        </is>
      </c>
      <c r="C28" s="35" t="n">
        <v>6600000</v>
      </c>
      <c r="D28" s="2" t="inlineStr">
        <is>
          <t>USD</t>
        </is>
      </c>
      <c r="E28" s="43">
        <f>'01_DASHBOARD'!A6-C28</f>
        <v/>
      </c>
      <c r="F28" s="2" t="n"/>
      <c r="G28" s="2" t="n"/>
    </row>
    <row r="29">
      <c r="A29" s="2" t="inlineStr">
        <is>
          <t>Available Liquidity</t>
        </is>
      </c>
      <c r="B29" s="2" t="inlineStr">
        <is>
          <t>01_DASHBOARD!D6</t>
        </is>
      </c>
      <c r="C29" s="35" t="n">
        <v>1350000</v>
      </c>
      <c r="D29" s="2" t="inlineStr">
        <is>
          <t>USD</t>
        </is>
      </c>
      <c r="E29" s="43">
        <f>'01_DASHBOARD'!D6-C29</f>
        <v/>
      </c>
      <c r="F29" s="2" t="n"/>
      <c r="G29" s="2" t="n"/>
    </row>
    <row r="30">
      <c r="A30" s="2" t="inlineStr">
        <is>
          <t>Term Deposits</t>
        </is>
      </c>
      <c r="B30" s="2" t="inlineStr">
        <is>
          <t>01_DASHBOARD!G6</t>
        </is>
      </c>
      <c r="C30" s="35" t="n">
        <v>3800000</v>
      </c>
      <c r="D30" s="2" t="inlineStr">
        <is>
          <t>USD</t>
        </is>
      </c>
      <c r="E30" s="43">
        <f>'01_DASHBOARD'!G6-C30</f>
        <v/>
      </c>
      <c r="F30" s="2" t="n"/>
      <c r="G30" s="2" t="n"/>
    </row>
    <row r="31">
      <c r="A31" s="2" t="inlineStr">
        <is>
          <t>FX Assets</t>
        </is>
      </c>
      <c r="B31" s="2" t="inlineStr">
        <is>
          <t>01_DASHBOARD!J6</t>
        </is>
      </c>
      <c r="C31" s="35" t="n">
        <v>1450000</v>
      </c>
      <c r="D31" s="2" t="inlineStr">
        <is>
          <t>USD</t>
        </is>
      </c>
      <c r="E31" s="43">
        <f>'01_DASHBOARD'!J6-C31</f>
        <v/>
      </c>
      <c r="F31" s="2" t="n"/>
      <c r="G31" s="2" t="n"/>
    </row>
    <row r="32">
      <c r="A32" s="2" t="inlineStr">
        <is>
          <t>Monthly Cash Burn</t>
        </is>
      </c>
      <c r="B32" s="2" t="inlineStr">
        <is>
          <t>01_DASHBOARD!A9</t>
        </is>
      </c>
      <c r="C32" s="35" t="n">
        <v>163000</v>
      </c>
      <c r="D32" s="2" t="inlineStr">
        <is>
          <t>USD</t>
        </is>
      </c>
      <c r="E32" s="43">
        <f>'01_DASHBOARD'!A9-C32</f>
        <v/>
      </c>
      <c r="F32" s="2" t="n"/>
      <c r="G32" s="2" t="n"/>
    </row>
    <row r="33">
      <c r="A33" s="2" t="inlineStr">
        <is>
          <t>Investment Income</t>
        </is>
      </c>
      <c r="B33" s="2" t="inlineStr">
        <is>
          <t>01_DASHBOARD!D9</t>
        </is>
      </c>
      <c r="C33" s="35" t="n">
        <v>3295.3125</v>
      </c>
      <c r="D33" s="2" t="inlineStr">
        <is>
          <t>USD</t>
        </is>
      </c>
      <c r="E33" s="43">
        <f>'01_DASHBOARD'!D9-C33</f>
        <v/>
      </c>
      <c r="F33" s="2" t="n"/>
      <c r="G33" s="2" t="n"/>
    </row>
    <row r="34">
      <c r="A34" s="2" t="inlineStr">
        <is>
          <t>Liquidity Coverage</t>
        </is>
      </c>
      <c r="B34" s="2" t="inlineStr">
        <is>
          <t>01_DASHBOARD!G9</t>
        </is>
      </c>
      <c r="C34" s="35" t="n">
        <v>8.282208588957054</v>
      </c>
      <c r="D34" s="2" t="inlineStr">
        <is>
          <t>months</t>
        </is>
      </c>
      <c r="E34" s="43">
        <f>'01_DASHBOARD'!G9-C34</f>
        <v/>
      </c>
      <c r="F34" s="2" t="n"/>
      <c r="G34" s="2" t="n"/>
    </row>
    <row r="35">
      <c r="A35" s="2" t="inlineStr">
        <is>
          <t>FX Exposure %</t>
        </is>
      </c>
      <c r="B35" s="2" t="inlineStr">
        <is>
          <t>01_DASHBOARD!J9</t>
        </is>
      </c>
      <c r="C35" s="35" t="n">
        <v>0.2196969696969697</v>
      </c>
      <c r="D35" s="2" t="inlineStr">
        <is>
          <t>%</t>
        </is>
      </c>
      <c r="E35" s="43">
        <f>'01_DASHBOARD'!J9-C35</f>
        <v/>
      </c>
      <c r="F35" s="2" t="n"/>
      <c r="G35" s="2" t="n"/>
    </row>
    <row r="36">
      <c r="A36" s="2" t="inlineStr">
        <is>
          <t>Next Maturity</t>
        </is>
      </c>
      <c r="B36" s="2" t="inlineStr">
        <is>
          <t>01_DASHBOARD!M6</t>
        </is>
      </c>
      <c r="C36" s="66" t="n">
        <v>46386</v>
      </c>
      <c r="D36" s="2" t="inlineStr">
        <is>
          <t>date</t>
        </is>
      </c>
      <c r="E36" s="43">
        <f>'01_DASHBOARD'!M6-C36</f>
        <v/>
      </c>
      <c r="F36" s="2" t="n"/>
      <c r="G36" s="2" t="n"/>
    </row>
    <row r="37">
      <c r="A37" s="2" t="inlineStr">
        <is>
          <t>12M Forecast Capital</t>
        </is>
      </c>
      <c r="B37" s="2" t="inlineStr">
        <is>
          <t>01_DASHBOARD!M9</t>
        </is>
      </c>
      <c r="C37" s="35" t="n">
        <v>4966386.215522158</v>
      </c>
      <c r="D37" s="2" t="inlineStr">
        <is>
          <t>USD</t>
        </is>
      </c>
      <c r="E37" s="43">
        <f>'01_DASHBOARD'!M9-C37</f>
        <v/>
      </c>
      <c r="F37" s="2" t="n"/>
      <c r="G3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Portfolio Model</dc:creator>
  <dc:title xmlns:dc="http://purl.org/dc/elements/1.1/">Capital Planning &amp; Liquidity Management Model</dc:title>
  <dc:description xmlns:dc="http://purl.org/dc/elements/1.1/">All financial figures are synthetic and used solely for demonstration purposes.</dc:description>
  <dc:subject xmlns:dc="http://purl.org/dc/elements/1.1/">Synthetic FP&amp;A and treasury decision-support model</dc:subject>
  <dcterms:created xmlns:dcterms="http://purl.org/dc/terms/" xmlns:xsi="http://www.w3.org/2001/XMLSchema-instance" xsi:type="dcterms:W3CDTF">2026-08-20T17:58:33Z</dcterms:created>
  <dcterms:modified xmlns:dcterms="http://purl.org/dc/terms/" xmlns:xsi="http://www.w3.org/2001/XMLSchema-instance" xsi:type="dcterms:W3CDTF">2026-08-20T18:16:04Z</dcterms:modified>
  <cp:lastModifiedBy>Portfolio Model</cp:lastModifiedBy>
  <cp:keywords>financial modeling, FP&amp;A, liquidity, scenario planning, dashboard</cp:keywords>
</cp:coreProperties>
</file>